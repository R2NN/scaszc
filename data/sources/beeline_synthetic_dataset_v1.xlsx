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4aef4ab4e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17874f158e4f52"/>
    <x:sheet xmlns:r="http://schemas.openxmlformats.org/officeDocument/2006/relationships" name="Core jobs" sheetId="2" r:id="R5a39ae0417164292"/>
    <x:sheet xmlns:r="http://schemas.openxmlformats.org/officeDocument/2006/relationships" name="Stress jobs" sheetId="3" r:id="R8f8b25969b6841c4"/>
    <x:sheet xmlns:r="http://schemas.openxmlformats.org/officeDocument/2006/relationships" name="Engineers" sheetId="4" r:id="R6f4ff4bc570f43eb"/>
    <x:sheet xmlns:r="http://schemas.openxmlformats.org/officeDocument/2006/relationships" name="Skills" sheetId="5" r:id="R6fad6bd53180403a"/>
    <x:sheet xmlns:r="http://schemas.openxmlformats.org/officeDocument/2006/relationships" name="Engineer skills" sheetId="6" r:id="Ref8efdb8ed844c55"/>
    <x:sheet xmlns:r="http://schemas.openxmlformats.org/officeDocument/2006/relationships" name="Eng equipment" sheetId="7" r:id="Re1f2791645a44af9"/>
    <x:sheet xmlns:r="http://schemas.openxmlformats.org/officeDocument/2006/relationships" name="Core inventory" sheetId="8" r:id="R72f6e38b39304800"/>
    <x:sheet xmlns:r="http://schemas.openxmlformats.org/officeDocument/2006/relationships" name="Stress inventory" sheetId="9" r:id="Recc53226f52242e0"/>
    <x:sheet xmlns:r="http://schemas.openxmlformats.org/officeDocument/2006/relationships" name="Core events" sheetId="10" r:id="R95e1f841bc994702"/>
    <x:sheet xmlns:r="http://schemas.openxmlformats.org/officeDocument/2006/relationships" name="Stress events" sheetId="11" r:id="Rc5a605d10d6b42ca"/>
    <x:sheet xmlns:r="http://schemas.openxmlformats.org/officeDocument/2006/relationships" name="Offices" sheetId="12" r:id="Rdb6763c1cc12436d"/>
    <x:sheet xmlns:r="http://schemas.openxmlformats.org/officeDocument/2006/relationships" name="Equipment" sheetId="13" r:id="R054fdf0f5f9b45c7"/>
    <x:sheet xmlns:r="http://schemas.openxmlformats.org/officeDocument/2006/relationships" name="Skill mapping" sheetId="14" r:id="Rb40f98487c1d41b7"/>
    <x:sheet xmlns:r="http://schemas.openxmlformats.org/officeDocument/2006/relationships" name="Work rules" sheetId="15" r:id="R2a3295aa93d0491e"/>
    <x:sheet xmlns:r="http://schemas.openxmlformats.org/officeDocument/2006/relationships" name="Work equipment" sheetId="16" r:id="R4a05fad297764191"/>
    <x:sheet xmlns:r="http://schemas.openxmlformats.org/officeDocument/2006/relationships" name="Traffic" sheetId="17" r:id="R093e32fb84014ae0"/>
    <x:sheet xmlns:r="http://schemas.openxmlformats.org/officeDocument/2006/relationships" name="Audit" sheetId="18" r:id="R9c03828fbe8c4bac"/>
    <x:sheet xmlns:r="http://schemas.openxmlformats.org/officeDocument/2006/relationships" name="ReadMe" sheetId="19" r:id="R30932479a30b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6"/>
      <x:color rgb="FF4B136B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4B136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B136B"/>
      </x:patternFill>
    </x:fill>
    <x:fill>
      <x:patternFill patternType="solid">
        <x:fgColor rgb="FFEFE5F4"/>
      </x:patternFill>
    </x:fill>
  </x:fills>
  <x:borders count="15">
    <x:border/>
    <x:border>
      <x:bottom style="thin">
        <x:color rgb="FF8E5AA7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C9B3D4"/>
      </x:left>
      <x:right style="thin">
        <x:color rgb="FFFFFFFF"/>
      </x:right>
      <x:top style="thin">
        <x:color rgb="FFC9B3D4"/>
      </x:top>
    </x:border>
    <x:border>
      <x:left style="thin">
        <x:color rgb="FFFFFFFF"/>
      </x:left>
      <x:right style="thin">
        <x:color rgb="FFFFFFFF"/>
      </x:right>
      <x:top style="thin">
        <x:color rgb="FFC9B3D4"/>
      </x:top>
    </x:border>
    <x:border>
      <x:left style="thin">
        <x:color rgb="FFFFFFFF"/>
      </x:left>
      <x:right style="thin">
        <x:color rgb="FFC9B3D4"/>
      </x:right>
      <x:top style="thin">
        <x:color rgb="FFC9B3D4"/>
      </x:top>
    </x:border>
    <x:border>
      <x:left style="thin">
        <x:color rgb="FFC9B3D4"/>
      </x:left>
    </x:border>
    <x:border>
      <x:right style="thin">
        <x:color rgb="FFC9B3D4"/>
      </x:right>
    </x:border>
    <x:border>
      <x:left style="thin">
        <x:color rgb="FFC9B3D4"/>
      </x:left>
      <x:bottom style="thin">
        <x:color rgb="FFC9B3D4"/>
      </x:bottom>
    </x:border>
    <x:border>
      <x:bottom style="thin">
        <x:color rgb="FFC9B3D4"/>
      </x:bottom>
    </x:border>
    <x:border>
      <x:right style="thin">
        <x:color rgb="FFC9B3D4"/>
      </x:right>
      <x:bottom style="thin">
        <x:color rgb="FFC9B3D4"/>
      </x:bottom>
    </x:border>
    <x:border>
      <x:left style="thin">
        <x:color rgb="FFC9B3D4"/>
      </x:left>
      <x:top style="thin">
        <x:color rgb="FFC9B3D4"/>
      </x:top>
    </x:border>
    <x:border>
      <x:right style="thin">
        <x:color rgb="FFC9B3D4"/>
      </x:right>
      <x:top style="thin">
        <x:color rgb="FFC9B3D4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2" xfId="0" applyNumberFormat="1" applyFont="1" applyFill="1" applyBorder="1"/>
    <x:xf numFmtId="0" fontId="3" fillId="0" borderId="1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3" xfId="0" applyNumberFormat="1" applyFont="1" applyFill="1" applyBorder="1"/>
    <x:xf numFmtId="0" fontId="0" fillId="0" borderId="14" xfId="0" applyNumberFormat="1" applyFont="1" applyFill="1" applyBorder="1"/>
    <x:xf numFmtId="0" fontId="5" fillId="3" borderId="8" xfId="0" applyNumberFormat="1" applyFont="1" applyFill="1" applyBorder="1"/>
    <x:xf numFmtId="0" fontId="5" fillId="3" borderId="10" xfId="0" applyNumberFormat="1" applyFont="1" applyFill="1" applyBorder="1"/>
    <x:xf numFmtId="0" fontId="4" fillId="3" borderId="13" xfId="0" applyNumberFormat="1" applyFont="1" applyFill="1" applyBorder="1"/>
    <x:xf numFmtId="0" fontId="3" fillId="0" borderId="14" xfId="0" applyNumberFormat="1" applyFont="1" applyFill="1" applyBorder="1"/>
    <x:xf numFmtId="0" fontId="4" fillId="3" borderId="8" xfId="0" applyNumberFormat="1" applyFont="1" applyFill="1" applyBorder="1"/>
    <x:xf numFmtId="0" fontId="4" fillId="3" borderId="10" xfId="0" applyNumberFormat="1" applyFont="1" applyFill="1" applyBorder="1"/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eea5de030408f" /><Relationship Type="http://schemas.openxmlformats.org/officeDocument/2006/relationships/theme" Target="/xl/theme/theme1.xml" Id="Rf8e4321f9eb34f58" /><Relationship Type="http://schemas.microsoft.com/office/2022/11/relationships/FeaturePropertyBag" Target="/xl/featurePropertyBag/featurePropertyBag.xml" Id="R67517aea34154e6d" /><Relationship Type="http://schemas.openxmlformats.org/officeDocument/2006/relationships/sharedStrings" Target="/xl/sharedStrings.xml" Id="Ree78cb7543114a0e" /><Relationship Type="http://schemas.openxmlformats.org/officeDocument/2006/relationships/worksheet" Target="/xl/worksheets/sheet1.xml" Id="Re317874f158e4f52" /><Relationship Type="http://schemas.openxmlformats.org/officeDocument/2006/relationships/worksheet" Target="/xl/worksheets/sheet2.xml" Id="R5a39ae0417164292" /><Relationship Type="http://schemas.openxmlformats.org/officeDocument/2006/relationships/worksheet" Target="/xl/worksheets/sheet3.xml" Id="R8f8b25969b6841c4" /><Relationship Type="http://schemas.openxmlformats.org/officeDocument/2006/relationships/worksheet" Target="/xl/worksheets/sheet4.xml" Id="R6f4ff4bc570f43eb" /><Relationship Type="http://schemas.openxmlformats.org/officeDocument/2006/relationships/worksheet" Target="/xl/worksheets/sheet5.xml" Id="R6fad6bd53180403a" /><Relationship Type="http://schemas.openxmlformats.org/officeDocument/2006/relationships/worksheet" Target="/xl/worksheets/sheet6.xml" Id="Ref8efdb8ed844c55" /><Relationship Type="http://schemas.openxmlformats.org/officeDocument/2006/relationships/worksheet" Target="/xl/worksheets/sheet7.xml" Id="Re1f2791645a44af9" /><Relationship Type="http://schemas.openxmlformats.org/officeDocument/2006/relationships/worksheet" Target="/xl/worksheets/sheet8.xml" Id="R72f6e38b39304800" /><Relationship Type="http://schemas.openxmlformats.org/officeDocument/2006/relationships/worksheet" Target="/xl/worksheets/sheet9.xml" Id="Recc53226f52242e0" /><Relationship Type="http://schemas.openxmlformats.org/officeDocument/2006/relationships/worksheet" Target="/xl/worksheets/sheet10.xml" Id="R95e1f841bc994702" /><Relationship Type="http://schemas.openxmlformats.org/officeDocument/2006/relationships/worksheet" Target="/xl/worksheets/sheet11.xml" Id="Rc5a605d10d6b42ca" /><Relationship Type="http://schemas.openxmlformats.org/officeDocument/2006/relationships/worksheet" Target="/xl/worksheets/sheet12.xml" Id="Rdb6763c1cc12436d" /><Relationship Type="http://schemas.openxmlformats.org/officeDocument/2006/relationships/worksheet" Target="/xl/worksheets/sheet13.xml" Id="R054fdf0f5f9b45c7" /><Relationship Type="http://schemas.openxmlformats.org/officeDocument/2006/relationships/worksheet" Target="/xl/worksheets/sheet14.xml" Id="Rb40f98487c1d41b7" /><Relationship Type="http://schemas.openxmlformats.org/officeDocument/2006/relationships/worksheet" Target="/xl/worksheets/sheet15.xml" Id="R2a3295aa93d0491e" /><Relationship Type="http://schemas.openxmlformats.org/officeDocument/2006/relationships/worksheet" Target="/xl/worksheets/sheet16.xml" Id="R4a05fad297764191" /><Relationship Type="http://schemas.openxmlformats.org/officeDocument/2006/relationships/worksheet" Target="/xl/worksheets/sheet17.xml" Id="R093e32fb84014ae0" /><Relationship Type="http://schemas.openxmlformats.org/officeDocument/2006/relationships/worksheet" Target="/xl/worksheets/sheet18.xml" Id="R9c03828fbe8c4bac" /><Relationship Type="http://schemas.openxmlformats.org/officeDocument/2006/relationships/worksheet" Target="/xl/worksheets/sheet19.xml" Id="R30932479a30b4b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14f703503341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Количество заявок по зонам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Core jobs</c:v>
          </c:tx>
          <c:cat>
            <c:strRef>
              <c:f>'Summary'!$A$13:$A$15</c:f>
              <c:strCache>
                <c:ptCount val="0"/>
              </c:strCache>
            </c:strRef>
          </c:cat>
          <c:val>
            <c:numRef>
              <c:f>'Summary'!$B$13:$B$15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Stress jobs</c:v>
          </c:tx>
          <c:cat>
            <c:strRef>
              <c:f>'Summary'!$A$13:$A$15</c:f>
              <c:strCache>
                <c:ptCount val="0"/>
              </c:strCache>
            </c:strRef>
          </c:cat>
          <c:val>
            <c:numRef>
              <c:f>'Summary'!$C$13:$C$15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14f7035033416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reJobsTable" displayName="CoreJobsTable" ref="A1:X207" headerRowCount="1" totalsRowCount="0" totalsRowShown="0">
  <x:tableColumns count="24">
    <x:tableColumn id="1" name="scenario"/>
    <x:tableColumn id="2" name="job_id"/>
    <x:tableColumn id="3" name="source_job_id"/>
    <x:tableColumn id="4" name="zone_id"/>
    <x:tableColumn id="5" name="zone_name"/>
    <x:tableColumn id="6" name="bk_type"/>
    <x:tableColumn id="7" name="hd_type"/>
    <x:tableColumn id="8" name="window_start"/>
    <x:tableColumn id="9" name="window_end"/>
    <x:tableColumn id="10" name="district"/>
    <x:tableColumn id="11" name="address"/>
    <x:tableColumn id="12" name="connection_type"/>
    <x:tableColumn id="13" name="gigabit_required"/>
    <x:tableColumn id="14" name="required_skill"/>
    <x:tableColumn id="15" name="service_duration_min"/>
    <x:tableColumn id="16" name="priority"/>
    <x:tableColumn id="17" name="required_transport"/>
    <x:tableColumn id="18" name="required_equipment"/>
    <x:tableColumn id="19" name="created_at"/>
    <x:tableColumn id="20" name="is_event_job"/>
    <x:tableColumn id="21" name="status"/>
    <x:tableColumn id="22" name="latitude"/>
    <x:tableColumn id="23" name="longitude"/>
    <x:tableColumn id="24" name="geocode_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tressJobsTable" displayName="StressJobsTable" ref="A1:X208" headerRowCount="1" totalsRowCount="0" totalsRowShown="0">
  <x:tableColumns count="24">
    <x:tableColumn id="1" name="scenario"/>
    <x:tableColumn id="2" name="job_id"/>
    <x:tableColumn id="3" name="source_job_id"/>
    <x:tableColumn id="4" name="zone_id"/>
    <x:tableColumn id="5" name="zone_name"/>
    <x:tableColumn id="6" name="bk_type"/>
    <x:tableColumn id="7" name="hd_type"/>
    <x:tableColumn id="8" name="window_start"/>
    <x:tableColumn id="9" name="window_end"/>
    <x:tableColumn id="10" name="district"/>
    <x:tableColumn id="11" name="address"/>
    <x:tableColumn id="12" name="connection_type"/>
    <x:tableColumn id="13" name="gigabit_required"/>
    <x:tableColumn id="14" name="required_skill"/>
    <x:tableColumn id="15" name="service_duration_min"/>
    <x:tableColumn id="16" name="priority"/>
    <x:tableColumn id="17" name="required_transport"/>
    <x:tableColumn id="18" name="required_equipment"/>
    <x:tableColumn id="19" name="created_at"/>
    <x:tableColumn id="20" name="is_event_job"/>
    <x:tableColumn id="21" name="status"/>
    <x:tableColumn id="22" name="latitude"/>
    <x:tableColumn id="23" name="longitude"/>
    <x:tableColumn id="24" name="geocode_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ngineersTable" displayName="EngineersTable" ref="A1:L36" headerRowCount="1" totalsRowCount="0" totalsRowShown="0">
  <x:tableColumns count="12">
    <x:tableColumn id="1" name="engineer_id"/>
    <x:tableColumn id="2" name="engineer_name"/>
    <x:tableColumn id="3" name="zone_id"/>
    <x:tableColumn id="4" name="zone_name"/>
    <x:tableColumn id="5" name="shift_start"/>
    <x:tableColumn id="6" name="shift_end"/>
    <x:tableColumn id="7" name="start_office_id"/>
    <x:tableColumn id="8" name="transport_type"/>
    <x:tableColumn id="9" name="is_available"/>
    <x:tableColumn id="10" name="max_jobs"/>
    <x:tableColumn id="11" name="max_route_minutes"/>
    <x:tableColumn id="12" name="sourc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killsTable" displayName="SkillsTable" ref="A1:C4" headerRowCount="1" totalsRowCount="0" totalsRowShown="0">
  <x:tableColumns count="3">
    <x:tableColumn id="1" name="skill_id"/>
    <x:tableColumn id="2" name="skill_name"/>
    <x:tableColumn id="3" name="description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EngineerSkillsTable" displayName="EngineerSkillsTable" ref="A1:B68" headerRowCount="1" totalsRowCount="0" totalsRowShown="0">
  <x:tableColumns count="2">
    <x:tableColumn id="1" name="engineer_id"/>
    <x:tableColumn id="2" name="skill_i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ngineerEquipmentTable" displayName="EngineerEquipmentTable" ref="A1:C80" headerRowCount="1" totalsRowCount="0" totalsRowShown="0">
  <x:tableColumns count="3">
    <x:tableColumn id="1" name="engineer_id"/>
    <x:tableColumn id="2" name="equipment_id"/>
    <x:tableColumn id="3" name="quantity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CoreInventoryTable" displayName="CoreInventoryTable" ref="A1:G13" headerRowCount="1" totalsRowCount="0" totalsRowShown="0">
  <x:tableColumns count="7">
    <x:tableColumn id="1" name="scenario"/>
    <x:tableColumn id="2" name="zone_id"/>
    <x:tableColumn id="3" name="zone_name"/>
    <x:tableColumn id="4" name="equipment_id"/>
    <x:tableColumn id="5" name="quantity_available"/>
    <x:tableColumn id="6" name="reservation_policy"/>
    <x:tableColumn id="7" name="replenishment_during_day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StressInventoryTable" displayName="StressInventoryTable" ref="A1:G13" headerRowCount="1" totalsRowCount="0" totalsRowShown="0">
  <x:tableColumns count="7">
    <x:tableColumn id="1" name="scenario"/>
    <x:tableColumn id="2" name="zone_id"/>
    <x:tableColumn id="3" name="zone_name"/>
    <x:tableColumn id="4" name="equipment_id"/>
    <x:tableColumn id="5" name="quantity_available"/>
    <x:tableColumn id="6" name="reservation_policy"/>
    <x:tableColumn id="7" name="replenishment_during_day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CoreEventsTable" displayName="CoreEventsTable" ref="A1:I2" headerRowCount="1" totalsRowCount="0" totalsRowShown="0">
  <x:tableColumns count="9">
    <x:tableColumn id="1" name="apply_order"/>
    <x:tableColumn id="2" name="event_id"/>
    <x:tableColumn id="3" name="event_time"/>
    <x:tableColumn id="4" name="event_type"/>
    <x:tableColumn id="5" name="target_id"/>
    <x:tableColumn id="6" name="zone_id"/>
    <x:tableColumn id="7" name="description"/>
    <x:tableColumn id="8" name="unavailable_until"/>
    <x:tableColumn id="9" name="payload_json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StressEventsTable" displayName="StressEventsTable" ref="A1:I5" headerRowCount="1" totalsRowCount="0" totalsRowShown="0">
  <x:tableColumns count="9">
    <x:tableColumn id="1" name="apply_order"/>
    <x:tableColumn id="2" name="event_id"/>
    <x:tableColumn id="3" name="event_time"/>
    <x:tableColumn id="4" name="event_type"/>
    <x:tableColumn id="5" name="target_id"/>
    <x:tableColumn id="6" name="zone_id"/>
    <x:tableColumn id="7" name="description"/>
    <x:tableColumn id="8" name="unavailable_until"/>
    <x:tableColumn id="9" name="payload_json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OfficesTable" displayName="OfficesTable" ref="A1:G4" headerRowCount="1" totalsRowCount="0" totalsRowShown="0">
  <x:tableColumns count="7">
    <x:tableColumn id="1" name="office_id"/>
    <x:tableColumn id="2" name="zone_id"/>
    <x:tableColumn id="3" name="zone_name"/>
    <x:tableColumn id="4" name="address"/>
    <x:tableColumn id="5" name="latitude"/>
    <x:tableColumn id="6" name="longitude"/>
    <x:tableColumn id="7" name="geocode_status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quipmentTable" displayName="EquipmentTable" ref="A1:F8" headerRowCount="1" totalsRowCount="0" totalsRowShown="0">
  <x:tableColumns count="6">
    <x:tableColumn id="1" name="equipment_id"/>
    <x:tableColumn id="2" name="equipment_name"/>
    <x:tableColumn id="3" name="category"/>
    <x:tableColumn id="4" name="reusable"/>
    <x:tableColumn id="5" name="unit"/>
    <x:tableColumn id="6" name="shared_stock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SkillMappingTable" displayName="SkillMappingTable" ref="A1:B5" headerRowCount="1" totalsRowCount="0" totalsRowShown="0">
  <x:tableColumns count="2">
    <x:tableColumn id="1" name="bk_type"/>
    <x:tableColumn id="2" name="required_skill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WorkRulesTable" displayName="WorkRulesTable" ref="A1:E19" headerRowCount="1" totalsRowCount="0" totalsRowShown="0">
  <x:tableColumns count="5">
    <x:tableColumn id="1" name="hd_type"/>
    <x:tableColumn id="2" name="service_duration_min"/>
    <x:tableColumn id="3" name="default_priority"/>
    <x:tableColumn id="4" name="equipment_codes"/>
    <x:tableColumn id="5" name="rule_version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WorkEquipmentTable" displayName="WorkEquipmentTable" ref="A1:D34" headerRowCount="1" totalsRowCount="0" totalsRowShown="0">
  <x:tableColumns count="4">
    <x:tableColumn id="1" name="hd_type"/>
    <x:tableColumn id="2" name="equipment_id"/>
    <x:tableColumn id="3" name="quantity"/>
    <x:tableColumn id="4" name="condition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6" name="TrafficProfilesTable" displayName="TrafficProfilesTable" ref="A1:J10" headerRowCount="1" totalsRowCount="0" totalsRowShown="0">
  <x:tableColumns count="10">
    <x:tableColumn id="1" name="profile_id"/>
    <x:tableColumn id="2" name="transport_type"/>
    <x:tableColumn id="3" name="day_type"/>
    <x:tableColumn id="4" name="time_from"/>
    <x:tableColumn id="5" name="time_to"/>
    <x:tableColumn id="6" name="multiplier"/>
    <x:tableColumn id="7" name="fixed_minutes"/>
    <x:tableColumn id="8" name="base_source"/>
    <x:tableColumn id="9" name="base_speed_kmh"/>
    <x:tableColumn id="10" name="notes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AuditTable" displayName="AuditTable" ref="A1:C25" headerRowCount="1" totalsRowCount="0" totalsRowShown="0">
  <x:tableColumns count="3">
    <x:tableColumn id="1" name="check"/>
    <x:tableColumn id="2" name="status"/>
    <x:tableColumn id="3" name="detail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c9d260dd284e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462b7d767e47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7ff32bf37d46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a34e74309d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b0e8751a7e45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596fad139c4e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975b93eef644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e747689c2148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9003c6eeb44c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f6b8131fd14a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20af09ce12942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ae86773753f45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e5e068eccf24c4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7a08e074b584e2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b450d78c7c346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2ce4ef33bf64e0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418e804fbcc4a4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5a6a7fccc264644" /></Relationships>
</file>

<file path=xl/worksheets/sheet1.xml><?xml version="1.0" encoding="utf-8"?>
<x:worksheet xmlns:x="http://schemas.openxmlformats.org/spreadsheetml/2006/main">
  <x:sheetPr>
    <x:tabColor rgb="FF4B136B"/>
  </x:sheetPr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3" hidden="0" customWidth="1"/>
    <x:col min="5" max="5" width="34" hidden="0" customWidth="1"/>
    <x:col min="6" max="6" width="16" hidden="0" customWidth="1"/>
  </x:cols>
  <x:sheetData>
    <x:row r="1">
      <x:c r="A1" s="23"/>
      <x:c r="B1" s="23"/>
      <x:c r="C1" s="23"/>
      <x:c r="D1" s="23"/>
      <x:c r="E1" s="23"/>
      <x:c r="F1" s="23"/>
    </x:row>
    <x:row r="2" ht="28" customHeight="1">
      <x:c r="A2" s="1" t="str">
        <x:v>Синтетические данные для планирования маршрутов</x:v>
      </x:c>
      <x:c r="B2" s="1"/>
      <x:c r="C2" s="1"/>
      <x:c r="D2" s="1"/>
      <x:c r="E2" s="1"/>
      <x:c r="F2" s="1"/>
    </x:row>
    <x:row r="3">
      <x:c r="A3" s="25"/>
      <x:c r="B3" s="25"/>
      <x:c r="C3" s="25"/>
      <x:c r="D3" s="25"/>
      <x:c r="E3" s="25"/>
      <x:c r="F3" s="25"/>
    </x:row>
    <x:row r="4">
      <x:c r="A4" s="23"/>
      <x:c r="B4" s="23"/>
      <x:c r="C4" s="23"/>
      <x:c r="D4" s="23"/>
      <x:c r="E4" s="23"/>
      <x:c r="F4" s="23"/>
    </x:row>
    <x:row r="5">
      <x:c r="A5" s="14" t="str">
        <x:v>Показатель</x:v>
      </x:c>
      <x:c r="B5" s="15" t="str">
        <x:v>Core</x:v>
      </x:c>
      <x:c r="C5" s="16" t="str">
        <x:v>Stress</x:v>
      </x:c>
      <x:c r="D5" s="23"/>
      <x:c r="E5" s="14" t="str">
        <x:v>Параметр</x:v>
      </x:c>
      <x:c r="F5" s="16" t="str">
        <x:v>Значение</x:v>
      </x:c>
    </x:row>
    <x:row r="6">
      <x:c r="A6" s="29" t="str">
        <x:v>Всего заявок</x:v>
      </x:c>
      <x:c r="B6" s="23" t="n">
        <x:f>COUNTA('Core jobs'!$B$2:$B$207)</x:f>
        <x:v>206</x:v>
      </x:c>
      <x:c r="C6" s="30" t="n">
        <x:f>COUNTA('Stress jobs'!$B$2:$B$208)</x:f>
        <x:v>207</x:v>
      </x:c>
      <x:c r="D6" s="23"/>
      <x:c r="E6" s="29" t="str">
        <x:v>Инженеры</x:v>
      </x:c>
      <x:c r="F6" s="30" t="n">
        <x:v>35</x:v>
      </x:c>
    </x:row>
    <x:row r="7">
      <x:c r="A7" s="29" t="str">
        <x:v>Исходные заявки</x:v>
      </x:c>
      <x:c r="B7" s="23" t="n">
        <x:f>COUNTA('Core jobs'!$C$2:$C$207)</x:f>
        <x:v>205</x:v>
      </x:c>
      <x:c r="C7" s="30" t="n">
        <x:f>COUNTA('Stress jobs'!$C$2:$C$208)</x:f>
        <x:v>205</x:v>
      </x:c>
      <x:c r="D7" s="23"/>
      <x:c r="E7" s="29" t="str">
        <x:v>Навыки</x:v>
      </x:c>
      <x:c r="F7" s="30" t="n">
        <x:v>3</x:v>
      </x:c>
    </x:row>
    <x:row r="8">
      <x:c r="A8" s="29" t="str">
        <x:v>Событийные заявки</x:v>
      </x:c>
      <x:c r="B8" s="23" t="n">
        <x:f>B6-B7</x:f>
        <x:v>1</x:v>
      </x:c>
      <x:c r="C8" s="30" t="n">
        <x:f>C6-C7</x:f>
        <x:v>2</x:v>
      </x:c>
      <x:c r="D8" s="23"/>
      <x:c r="E8" s="29" t="str">
        <x:v>Типы транспорта</x:v>
      </x:c>
      <x:c r="F8" s="30" t="n">
        <x:v>4</x:v>
      </x:c>
    </x:row>
    <x:row r="9">
      <x:c r="A9" s="29" t="str">
        <x:v>Срочные заявки</x:v>
      </x:c>
      <x:c r="B9" s="23" t="n">
        <x:f>COUNTIF('Core jobs'!$P$2:$P$207,"URGENT")</x:f>
        <x:v>16</x:v>
      </x:c>
      <x:c r="C9" s="30" t="n">
        <x:f>COUNTIF('Stress jobs'!$P$2:$P$208,"URGENT")</x:f>
        <x:v>17</x:v>
      </x:c>
      <x:c r="D9" s="23"/>
      <x:c r="E9" s="31" t="str">
        <x:v>Ожидаемый дефицит ONT в Stress</x:v>
      </x:c>
      <x:c r="F9" s="32" t="n">
        <x:v>1</x:v>
      </x:c>
    </x:row>
    <x:row r="10">
      <x:c r="A10" s="31" t="str">
        <x:v>Требуют автомобиль</x:v>
      </x:c>
      <x:c r="B10" s="33" t="n">
        <x:f>COUNTIF('Core jobs'!$Q$2:$Q$207,"CAR")</x:f>
        <x:v>37</x:v>
      </x:c>
      <x:c r="C10" s="32" t="n">
        <x:f>COUNTIF('Stress jobs'!$Q$2:$Q$208,"CAR")</x:f>
        <x:v>38</x:v>
      </x:c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14" t="str">
        <x:v>Зона</x:v>
      </x:c>
      <x:c r="B12" s="15" t="str">
        <x:v>Core jobs</x:v>
      </x:c>
      <x:c r="C12" s="16" t="str">
        <x:v>Stress jobs</x:v>
      </x:c>
      <x:c r="D12" s="23"/>
      <x:c r="E12" s="23"/>
      <x:c r="F12" s="23"/>
    </x:row>
    <x:row r="13">
      <x:c r="A13" s="29" t="str">
        <x:v>EAST</x:v>
      </x:c>
      <x:c r="B13" s="23" t="n">
        <x:f>COUNTIF('Core jobs'!$D$2:$D$207,A13)</x:f>
        <x:v>67</x:v>
      </x:c>
      <x:c r="C13" s="30" t="n">
        <x:f>COUNTIF('Stress jobs'!$D$2:$D$208,A13)</x:f>
        <x:v>67</x:v>
      </x:c>
      <x:c r="D13" s="23"/>
      <x:c r="E13" s="23"/>
      <x:c r="F13" s="23"/>
    </x:row>
    <x:row r="14">
      <x:c r="A14" s="29" t="str">
        <x:v>SOUTHEAST</x:v>
      </x:c>
      <x:c r="B14" s="23" t="n">
        <x:f>COUNTIF('Core jobs'!$D$2:$D$207,A14)</x:f>
        <x:v>83</x:v>
      </x:c>
      <x:c r="C14" s="30" t="n">
        <x:f>COUNTIF('Stress jobs'!$D$2:$D$208,A14)</x:f>
        <x:v>84</x:v>
      </x:c>
      <x:c r="D14" s="23"/>
      <x:c r="E14" s="23"/>
      <x:c r="F14" s="23"/>
    </x:row>
    <x:row r="15">
      <x:c r="A15" s="31" t="str">
        <x:v>SOUTHCENTER</x:v>
      </x:c>
      <x:c r="B15" s="33" t="n">
        <x:f>COUNTIF('Core jobs'!$D$2:$D$207,A15)</x:f>
        <x:v>56</x:v>
      </x:c>
      <x:c r="C15" s="32" t="n">
        <x:f>COUNTIF('Stress jobs'!$D$2:$D$208,A15)</x:f>
        <x:v>56</x:v>
      </x:c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7bc9d260dd284e07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28" hidden="0" customWidth="1"/>
    <x:col min="7" max="7" width="40" hidden="0" customWidth="1"/>
    <x:col min="8" max="8" width="21" hidden="0" customWidth="1"/>
    <x:col min="9" max="9" width="21" hidden="0" customWidth="1"/>
    <x:col min="10" max="10" width="14" hidden="0" customWidth="1"/>
    <x:col min="11" max="11" width="38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4" hidden="0" customWidth="1"/>
    <x:col min="18" max="18" width="38" hidden="0" customWidth="1"/>
    <x:col min="19" max="19" width="21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15" hidden="0" customHeight="1">
      <x:c r="A1" s="46" t="str">
        <x:v>scenario</x:v>
      </x:c>
      <x:c r="B1" s="47" t="str">
        <x:v>job_id</x:v>
      </x:c>
      <x:c r="C1" s="47" t="str">
        <x:v>source_job_id</x:v>
      </x:c>
      <x:c r="D1" s="47" t="str">
        <x:v>zone_id</x:v>
      </x:c>
      <x:c r="E1" s="47" t="str">
        <x:v>zone_name</x:v>
      </x:c>
      <x:c r="F1" s="47" t="str">
        <x:v>bk_type</x:v>
      </x:c>
      <x:c r="G1" s="47" t="str">
        <x:v>hd_type</x:v>
      </x:c>
      <x:c r="H1" s="47" t="str">
        <x:v>window_start</x:v>
      </x:c>
      <x:c r="I1" s="47" t="str">
        <x:v>window_end</x:v>
      </x:c>
      <x:c r="J1" s="47" t="str">
        <x:v>district</x:v>
      </x:c>
      <x:c r="K1" s="47" t="str">
        <x:v>address</x:v>
      </x:c>
      <x:c r="L1" s="47" t="str">
        <x:v>connection_type</x:v>
      </x:c>
      <x:c r="M1" s="47" t="str">
        <x:v>gigabit_required</x:v>
      </x:c>
      <x:c r="N1" s="47" t="str">
        <x:v>required_skill</x:v>
      </x:c>
      <x:c r="O1" s="47" t="str">
        <x:v>service_duration_min</x:v>
      </x:c>
      <x:c r="P1" s="47" t="str">
        <x:v>priority</x:v>
      </x:c>
      <x:c r="Q1" s="47" t="str">
        <x:v>required_transport</x:v>
      </x:c>
      <x:c r="R1" s="47" t="str">
        <x:v>required_equipment</x:v>
      </x:c>
      <x:c r="S1" s="47" t="str">
        <x:v>created_at</x:v>
      </x:c>
      <x:c r="T1" s="47" t="str">
        <x:v>is_event_job</x:v>
      </x:c>
      <x:c r="U1" s="47" t="str">
        <x:v>status</x:v>
      </x:c>
      <x:c r="V1" s="47" t="str">
        <x:v>latitude</x:v>
      </x:c>
      <x:c r="W1" s="47" t="str">
        <x:v>longitude</x:v>
      </x:c>
      <x:c r="X1" s="48" t="str">
        <x:v>geocode_status</x:v>
      </x:c>
    </x:row>
    <x:row r="2" ht="15" hidden="0" customHeight="1">
      <x:c r="A2" s="36" t="str">
        <x:v>CORE</x:v>
      </x:c>
      <x:c r="B2" s="36" t="str">
        <x:v>EAST-74198</x:v>
      </x:c>
      <x:c r="C2" s="36" t="str">
        <x:v>74198</x:v>
      </x:c>
      <x:c r="D2" s="36" t="str">
        <x:v>EAST</x:v>
      </x:c>
      <x:c r="E2" s="36" t="str">
        <x:v>Восток</x:v>
      </x:c>
      <x:c r="F2" s="36" t="str">
        <x:v>Подключение</x:v>
      </x:c>
      <x:c r="G2" s="36" t="str">
        <x:v>Конвергенция абонента</x:v>
      </x:c>
      <x:c r="H2" s="49" t="n">
        <x:v>46251.833333333336</x:v>
      </x:c>
      <x:c r="I2" s="49" t="n">
        <x:v>46251.916666666664</x:v>
      </x:c>
      <x:c r="J2" s="36" t="str">
        <x:v>Кузьминки</x:v>
      </x:c>
      <x:c r="K2" s="36" t="str">
        <x:v>Город Москва, пр-кт.Волгоградский, д. 128 к 5</x:v>
      </x:c>
      <x:c r="L2" s="36" t="str">
        <x:v>FMC</x:v>
      </x:c>
      <x:c r="M2" s="36" t="str">
        <x:v>Нет</x:v>
      </x:c>
      <x:c r="N2" s="36" t="str">
        <x:v>INSTALL</x:v>
      </x:c>
      <x:c r="O2" s="36" t="n">
        <x:v>60</x:v>
      </x:c>
      <x:c r="P2" s="36" t="str">
        <x:v>NORMAL</x:v>
      </x:c>
      <x:c r="Q2" s="36" t="str">
        <x:v>ANY</x:v>
      </x:c>
      <x:c r="R2" s="36" t="str">
        <x:v>DIAG_SET|INSTALL_SET|CABLE_PACK</x:v>
      </x:c>
      <x:c r="S2" s="49" t="n">
        <x:v>46251.291666666664</x:v>
      </x:c>
      <x:c r="T2" s="37" t="b">
        <x:v>0</x:v>
      </x:c>
      <x:c r="U2" s="36" t="str">
        <x:v>PENDING</x:v>
      </x:c>
      <x:c r="V2" s="36"/>
      <x:c r="W2" s="36"/>
      <x:c r="X2" s="36" t="str">
        <x:v>needs_geocoding</x:v>
      </x:c>
    </x:row>
    <x:row r="3" ht="15" hidden="0" customHeight="1">
      <x:c r="A3" s="36" t="str">
        <x:v>CORE</x:v>
      </x:c>
      <x:c r="B3" s="36" t="str">
        <x:v>EAST-86160</x:v>
      </x:c>
      <x:c r="C3" s="36" t="str">
        <x:v>86160</x:v>
      </x:c>
      <x:c r="D3" s="36" t="str">
        <x:v>EAST</x:v>
      </x:c>
      <x:c r="E3" s="36" t="str">
        <x:v>Восток</x:v>
      </x:c>
      <x:c r="F3" s="36" t="str">
        <x:v>Подключение</x:v>
      </x:c>
      <x:c r="G3" s="36" t="str">
        <x:v>Конвергенция абонента</x:v>
      </x:c>
      <x:c r="H3" s="49" t="n">
        <x:v>46251.75</x:v>
      </x:c>
      <x:c r="I3" s="49" t="n">
        <x:v>46251.833333333336</x:v>
      </x:c>
      <x:c r="J3" s="36" t="str">
        <x:v>Таганский</x:v>
      </x:c>
      <x:c r="K3" s="36" t="str">
        <x:v>Город Москва, пер.Маяковского, д. 2</x:v>
      </x:c>
      <x:c r="L3" s="36" t="str">
        <x:v>FMC</x:v>
      </x:c>
      <x:c r="M3" s="36" t="str">
        <x:v>Нет</x:v>
      </x:c>
      <x:c r="N3" s="36" t="str">
        <x:v>INSTALL</x:v>
      </x:c>
      <x:c r="O3" s="36" t="n">
        <x:v>60</x:v>
      </x:c>
      <x:c r="P3" s="36" t="str">
        <x:v>NORMAL</x:v>
      </x:c>
      <x:c r="Q3" s="36" t="str">
        <x:v>ANY</x:v>
      </x:c>
      <x:c r="R3" s="36" t="str">
        <x:v>DIAG_SET|INSTALL_SET|CABLE_PACK</x:v>
      </x:c>
      <x:c r="S3" s="49" t="n">
        <x:v>46251.291666666664</x:v>
      </x:c>
      <x:c r="T3" s="37" t="b">
        <x:v>0</x:v>
      </x:c>
      <x:c r="U3" s="36" t="str">
        <x:v>PENDING</x:v>
      </x:c>
      <x:c r="V3" s="36"/>
      <x:c r="W3" s="36"/>
      <x:c r="X3" s="36" t="str">
        <x:v>needs_geocoding</x:v>
      </x:c>
    </x:row>
    <x:row r="4" ht="15" hidden="0" customHeight="1">
      <x:c r="A4" s="36" t="str">
        <x:v>CORE</x:v>
      </x:c>
      <x:c r="B4" s="36" t="str">
        <x:v>EAST-50104</x:v>
      </x:c>
      <x:c r="C4" s="36" t="str">
        <x:v>50104</x:v>
      </x:c>
      <x:c r="D4" s="36" t="str">
        <x:v>EAST</x:v>
      </x:c>
      <x:c r="E4" s="36" t="str">
        <x:v>Восток</x:v>
      </x:c>
      <x:c r="F4" s="36" t="str">
        <x:v>Подключение</x:v>
      </x:c>
      <x:c r="G4" s="36" t="str">
        <x:v>Заявка на подключение</x:v>
      </x:c>
      <x:c r="H4" s="49" t="n">
        <x:v>46251.75</x:v>
      </x:c>
      <x:c r="I4" s="49" t="n">
        <x:v>46251.833333333336</x:v>
      </x:c>
      <x:c r="J4" s="36" t="str">
        <x:v>Текстильщики</x:v>
      </x:c>
      <x:c r="K4" s="36" t="str">
        <x:v>Город Москва, ул.Грайвороновская, д. 10 к 2</x:v>
      </x:c>
      <x:c r="L4" s="36" t="str"/>
      <x:c r="M4" s="36" t="str">
        <x:v>Да</x:v>
      </x:c>
      <x:c r="N4" s="36" t="str">
        <x:v>INSTALL</x:v>
      </x:c>
      <x:c r="O4" s="36" t="n">
        <x:v>90</x:v>
      </x:c>
      <x:c r="P4" s="36" t="str">
        <x:v>NORMAL</x:v>
      </x:c>
      <x:c r="Q4" s="36" t="str">
        <x:v>CAR</x:v>
      </x:c>
      <x:c r="R4" s="36" t="str">
        <x:v>DIAG_SET|INSTALL_SET|CABLE_PACK|ONT_GIGABIT</x:v>
      </x:c>
      <x:c r="S4" s="49" t="n">
        <x:v>46251.291666666664</x:v>
      </x:c>
      <x:c r="T4" s="37" t="b">
        <x:v>0</x:v>
      </x:c>
      <x:c r="U4" s="36" t="str">
        <x:v>PENDING</x:v>
      </x:c>
      <x:c r="V4" s="36"/>
      <x:c r="W4" s="36"/>
      <x:c r="X4" s="36" t="str">
        <x:v>needs_geocoding</x:v>
      </x:c>
    </x:row>
    <x:row r="5" ht="15" hidden="0" customHeight="1">
      <x:c r="A5" s="36" t="str">
        <x:v>CORE</x:v>
      </x:c>
      <x:c r="B5" s="36" t="str">
        <x:v>EAST-46393</x:v>
      </x:c>
      <x:c r="C5" s="36" t="str">
        <x:v>46393</x:v>
      </x:c>
      <x:c r="D5" s="36" t="str">
        <x:v>EAST</x:v>
      </x:c>
      <x:c r="E5" s="36" t="str">
        <x:v>Восток</x:v>
      </x:c>
      <x:c r="F5" s="36" t="str">
        <x:v>Подключение</x:v>
      </x:c>
      <x:c r="G5" s="36" t="str">
        <x:v>Конвергенция абонента</x:v>
      </x:c>
      <x:c r="H5" s="49" t="n">
        <x:v>46251.833333333336</x:v>
      </x:c>
      <x:c r="I5" s="49" t="n">
        <x:v>46251.916666666664</x:v>
      </x:c>
      <x:c r="J5" s="36" t="str">
        <x:v>Рязанский</x:v>
      </x:c>
      <x:c r="K5" s="36" t="str">
        <x:v>Город Москва, ул.Михайлова, д. 14</x:v>
      </x:c>
      <x:c r="L5" s="36" t="str">
        <x:v>FMC</x:v>
      </x:c>
      <x:c r="M5" s="36" t="str">
        <x:v>Нет</x:v>
      </x:c>
      <x:c r="N5" s="36" t="str">
        <x:v>INSTALL</x:v>
      </x:c>
      <x:c r="O5" s="36" t="n">
        <x:v>60</x:v>
      </x:c>
      <x:c r="P5" s="36" t="str">
        <x:v>NORMAL</x:v>
      </x:c>
      <x:c r="Q5" s="36" t="str">
        <x:v>ANY</x:v>
      </x:c>
      <x:c r="R5" s="36" t="str">
        <x:v>DIAG_SET|INSTALL_SET|CABLE_PACK</x:v>
      </x:c>
      <x:c r="S5" s="49" t="n">
        <x:v>46251.291666666664</x:v>
      </x:c>
      <x:c r="T5" s="37" t="b">
        <x:v>0</x:v>
      </x:c>
      <x:c r="U5" s="36" t="str">
        <x:v>PENDING</x:v>
      </x:c>
      <x:c r="V5" s="36"/>
      <x:c r="W5" s="36"/>
      <x:c r="X5" s="36" t="str">
        <x:v>needs_geocoding</x:v>
      </x:c>
    </x:row>
    <x:row r="6" ht="15" hidden="0" customHeight="1">
      <x:c r="A6" s="36" t="str">
        <x:v>CORE</x:v>
      </x:c>
      <x:c r="B6" s="36" t="str">
        <x:v>EAST-10135</x:v>
      </x:c>
      <x:c r="C6" s="36" t="str">
        <x:v>10135</x:v>
      </x:c>
      <x:c r="D6" s="36" t="str">
        <x:v>EAST</x:v>
      </x:c>
      <x:c r="E6" s="36" t="str">
        <x:v>Восток</x:v>
      </x:c>
      <x:c r="F6" s="36" t="str">
        <x:v>Подключение</x:v>
      </x:c>
      <x:c r="G6" s="36" t="str">
        <x:v>Конвергенция абонента</x:v>
      </x:c>
      <x:c r="H6" s="49" t="n">
        <x:v>46251.75</x:v>
      </x:c>
      <x:c r="I6" s="49" t="n">
        <x:v>46251.833333333336</x:v>
      </x:c>
      <x:c r="J6" s="36" t="str">
        <x:v>Рязанский</x:v>
      </x:c>
      <x:c r="K6" s="36" t="str">
        <x:v>Город Москва, ул.3-я Институтская, д. 5 к 2</x:v>
      </x:c>
      <x:c r="L6" s="36" t="str">
        <x:v>FMC</x:v>
      </x:c>
      <x:c r="M6" s="36" t="str">
        <x:v>Нет</x:v>
      </x:c>
      <x:c r="N6" s="36" t="str">
        <x:v>INSTALL</x:v>
      </x:c>
      <x:c r="O6" s="36" t="n">
        <x:v>60</x:v>
      </x:c>
      <x:c r="P6" s="36" t="str">
        <x:v>NORMAL</x:v>
      </x:c>
      <x:c r="Q6" s="36" t="str">
        <x:v>ANY</x:v>
      </x:c>
      <x:c r="R6" s="36" t="str">
        <x:v>DIAG_SET|INSTALL_SET|CABLE_PACK</x:v>
      </x:c>
      <x:c r="S6" s="49" t="n">
        <x:v>46251.291666666664</x:v>
      </x:c>
      <x:c r="T6" s="37" t="b">
        <x:v>0</x:v>
      </x:c>
      <x:c r="U6" s="36" t="str">
        <x:v>PENDING</x:v>
      </x:c>
      <x:c r="V6" s="36"/>
      <x:c r="W6" s="36"/>
      <x:c r="X6" s="36" t="str">
        <x:v>needs_geocoding</x:v>
      </x:c>
    </x:row>
    <x:row r="7" ht="15" hidden="0" customHeight="1">
      <x:c r="A7" s="36" t="str">
        <x:v>CORE</x:v>
      </x:c>
      <x:c r="B7" s="36" t="str">
        <x:v>EAST-18754</x:v>
      </x:c>
      <x:c r="C7" s="36" t="str">
        <x:v>18754</x:v>
      </x:c>
      <x:c r="D7" s="36" t="str">
        <x:v>EAST</x:v>
      </x:c>
      <x:c r="E7" s="36" t="str">
        <x:v>Восток</x:v>
      </x:c>
      <x:c r="F7" s="36" t="str">
        <x:v>Подключение</x:v>
      </x:c>
      <x:c r="G7" s="36" t="str">
        <x:v>Конвергенция абонента</x:v>
      </x:c>
      <x:c r="H7" s="49" t="n">
        <x:v>46251.75</x:v>
      </x:c>
      <x:c r="I7" s="49" t="n">
        <x:v>46251.833333333336</x:v>
      </x:c>
      <x:c r="J7" s="36" t="str">
        <x:v>Рязанский</x:v>
      </x:c>
      <x:c r="K7" s="36" t="str">
        <x:v>Город Москва, ул.1-я Новокузьминская, д. 16 к 1</x:v>
      </x:c>
      <x:c r="L7" s="36" t="str">
        <x:v>FMC</x:v>
      </x:c>
      <x:c r="M7" s="36" t="str">
        <x:v>Нет</x:v>
      </x:c>
      <x:c r="N7" s="36" t="str">
        <x:v>INSTALL</x:v>
      </x:c>
      <x:c r="O7" s="36" t="n">
        <x:v>60</x:v>
      </x:c>
      <x:c r="P7" s="36" t="str">
        <x:v>NORMAL</x:v>
      </x:c>
      <x:c r="Q7" s="36" t="str">
        <x:v>ANY</x:v>
      </x:c>
      <x:c r="R7" s="36" t="str">
        <x:v>DIAG_SET|INSTALL_SET|CABLE_PACK</x:v>
      </x:c>
      <x:c r="S7" s="49" t="n">
        <x:v>46251.291666666664</x:v>
      </x:c>
      <x:c r="T7" s="37" t="b">
        <x:v>0</x:v>
      </x:c>
      <x:c r="U7" s="36" t="str">
        <x:v>PENDING</x:v>
      </x:c>
      <x:c r="V7" s="36"/>
      <x:c r="W7" s="36"/>
      <x:c r="X7" s="36" t="str">
        <x:v>needs_geocoding</x:v>
      </x:c>
    </x:row>
    <x:row r="8" ht="15" hidden="0" customHeight="1">
      <x:c r="A8" s="36" t="str">
        <x:v>CORE</x:v>
      </x:c>
      <x:c r="B8" s="36" t="str">
        <x:v>EAST-84627</x:v>
      </x:c>
      <x:c r="C8" s="36" t="str">
        <x:v>84627</x:v>
      </x:c>
      <x:c r="D8" s="36" t="str">
        <x:v>EAST</x:v>
      </x:c>
      <x:c r="E8" s="36" t="str">
        <x:v>Восток</x:v>
      </x:c>
      <x:c r="F8" s="36" t="str">
        <x:v>Подключение</x:v>
      </x:c>
      <x:c r="G8" s="36" t="str">
        <x:v>Конвергенция абонента</x:v>
      </x:c>
      <x:c r="H8" s="49" t="n">
        <x:v>46251.833333333336</x:v>
      </x:c>
      <x:c r="I8" s="49" t="n">
        <x:v>46251.916666666664</x:v>
      </x:c>
      <x:c r="J8" s="36" t="str">
        <x:v>Кузьминки</x:v>
      </x:c>
      <x:c r="K8" s="36" t="str">
        <x:v>Город Москва, ул.Окская, д. 32</x:v>
      </x:c>
      <x:c r="L8" s="36" t="str">
        <x:v>FMC</x:v>
      </x:c>
      <x:c r="M8" s="36" t="str">
        <x:v>Нет</x:v>
      </x:c>
      <x:c r="N8" s="36" t="str">
        <x:v>INSTALL</x:v>
      </x:c>
      <x:c r="O8" s="36" t="n">
        <x:v>60</x:v>
      </x:c>
      <x:c r="P8" s="36" t="str">
        <x:v>NORMAL</x:v>
      </x:c>
      <x:c r="Q8" s="36" t="str">
        <x:v>ANY</x:v>
      </x:c>
      <x:c r="R8" s="36" t="str">
        <x:v>DIAG_SET|INSTALL_SET|CABLE_PACK</x:v>
      </x:c>
      <x:c r="S8" s="49" t="n">
        <x:v>46251.291666666664</x:v>
      </x:c>
      <x:c r="T8" s="37" t="b">
        <x:v>0</x:v>
      </x:c>
      <x:c r="U8" s="36" t="str">
        <x:v>PENDING</x:v>
      </x:c>
      <x:c r="V8" s="36"/>
      <x:c r="W8" s="36"/>
      <x:c r="X8" s="36" t="str">
        <x:v>needs_geocoding</x:v>
      </x:c>
    </x:row>
    <x:row r="9" ht="15" hidden="0" customHeight="1">
      <x:c r="A9" s="36" t="str">
        <x:v>CORE</x:v>
      </x:c>
      <x:c r="B9" s="36" t="str">
        <x:v>EAST-61540</x:v>
      </x:c>
      <x:c r="C9" s="36" t="str">
        <x:v>61540</x:v>
      </x:c>
      <x:c r="D9" s="36" t="str">
        <x:v>EAST</x:v>
      </x:c>
      <x:c r="E9" s="36" t="str">
        <x:v>Восток</x:v>
      </x:c>
      <x:c r="F9" s="36" t="str">
        <x:v>Подключение</x:v>
      </x:c>
      <x:c r="G9" s="36" t="str">
        <x:v>Конвергенция абонента</x:v>
      </x:c>
      <x:c r="H9" s="49" t="n">
        <x:v>46251.666666666664</x:v>
      </x:c>
      <x:c r="I9" s="49" t="n">
        <x:v>46251.75</x:v>
      </x:c>
      <x:c r="J9" s="36" t="str">
        <x:v>Кузьминки</x:v>
      </x:c>
      <x:c r="K9" s="36" t="str">
        <x:v>Город Москва, ул.Юных Ленинцев, д. 84</x:v>
      </x:c>
      <x:c r="L9" s="36" t="str">
        <x:v>FMC</x:v>
      </x:c>
      <x:c r="M9" s="36" t="str">
        <x:v>Нет</x:v>
      </x:c>
      <x:c r="N9" s="36" t="str">
        <x:v>INSTALL</x:v>
      </x:c>
      <x:c r="O9" s="36" t="n">
        <x:v>60</x:v>
      </x:c>
      <x:c r="P9" s="36" t="str">
        <x:v>NORMAL</x:v>
      </x:c>
      <x:c r="Q9" s="36" t="str">
        <x:v>ANY</x:v>
      </x:c>
      <x:c r="R9" s="36" t="str">
        <x:v>DIAG_SET|INSTALL_SET|CABLE_PACK</x:v>
      </x:c>
      <x:c r="S9" s="49" t="n">
        <x:v>46251.291666666664</x:v>
      </x:c>
      <x:c r="T9" s="37" t="b">
        <x:v>0</x:v>
      </x:c>
      <x:c r="U9" s="36" t="str">
        <x:v>PENDING</x:v>
      </x:c>
      <x:c r="V9" s="36"/>
      <x:c r="W9" s="36"/>
      <x:c r="X9" s="36" t="str">
        <x:v>needs_geocoding</x:v>
      </x:c>
    </x:row>
    <x:row r="10" ht="15" hidden="0" customHeight="1">
      <x:c r="A10" s="36" t="str">
        <x:v>CORE</x:v>
      </x:c>
      <x:c r="B10" s="36" t="str">
        <x:v>EAST-74949</x:v>
      </x:c>
      <x:c r="C10" s="36" t="str">
        <x:v>74949</x:v>
      </x:c>
      <x:c r="D10" s="36" t="str">
        <x:v>EAST</x:v>
      </x:c>
      <x:c r="E10" s="36" t="str">
        <x:v>Восток</x:v>
      </x:c>
      <x:c r="F10" s="36" t="str">
        <x:v>Подключение</x:v>
      </x:c>
      <x:c r="G10" s="36" t="str">
        <x:v>Конвергенция абонента</x:v>
      </x:c>
      <x:c r="H10" s="49" t="n">
        <x:v>46251.416666666664</x:v>
      </x:c>
      <x:c r="I10" s="49" t="n">
        <x:v>46251.5</x:v>
      </x:c>
      <x:c r="J10" s="36" t="str">
        <x:v>Таганский</x:v>
      </x:c>
      <x:c r="K10" s="36" t="str">
        <x:v>Город Москва, ул.Международная, д. 28 стр. 1</x:v>
      </x:c>
      <x:c r="L10" s="36" t="str">
        <x:v>FMC</x:v>
      </x:c>
      <x:c r="M10" s="36" t="str">
        <x:v>Нет</x:v>
      </x:c>
      <x:c r="N10" s="36" t="str">
        <x:v>INSTALL</x:v>
      </x:c>
      <x:c r="O10" s="36" t="n">
        <x:v>60</x:v>
      </x:c>
      <x:c r="P10" s="36" t="str">
        <x:v>NORMAL</x:v>
      </x:c>
      <x:c r="Q10" s="36" t="str">
        <x:v>ANY</x:v>
      </x:c>
      <x:c r="R10" s="36" t="str">
        <x:v>DIAG_SET|INSTALL_SET|CABLE_PACK</x:v>
      </x:c>
      <x:c r="S10" s="49" t="n">
        <x:v>46251.291666666664</x:v>
      </x:c>
      <x:c r="T10" s="37" t="b">
        <x:v>0</x:v>
      </x:c>
      <x:c r="U10" s="36" t="str">
        <x:v>PENDING</x:v>
      </x:c>
      <x:c r="V10" s="36"/>
      <x:c r="W10" s="36"/>
      <x:c r="X10" s="36" t="str">
        <x:v>needs_geocoding</x:v>
      </x:c>
    </x:row>
    <x:row r="11" ht="15" hidden="0" customHeight="1">
      <x:c r="A11" s="36" t="str">
        <x:v>CORE</x:v>
      </x:c>
      <x:c r="B11" s="36" t="str">
        <x:v>EAST-41077</x:v>
      </x:c>
      <x:c r="C11" s="36" t="str">
        <x:v>41077</x:v>
      </x:c>
      <x:c r="D11" s="36" t="str">
        <x:v>EAST</x:v>
      </x:c>
      <x:c r="E11" s="36" t="str">
        <x:v>Восток</x:v>
      </x:c>
      <x:c r="F11" s="36" t="str">
        <x:v>Подключение</x:v>
      </x:c>
      <x:c r="G11" s="36" t="str">
        <x:v>Конвергенция абонента</x:v>
      </x:c>
      <x:c r="H11" s="49" t="n">
        <x:v>46251.5</x:v>
      </x:c>
      <x:c r="I11" s="49" t="n">
        <x:v>46251.583333333336</x:v>
      </x:c>
      <x:c r="J11" s="36" t="str">
        <x:v>Таганский</x:v>
      </x:c>
      <x:c r="K11" s="36" t="str">
        <x:v>Город Москва, ул.Новорогожская, д. 8</x:v>
      </x:c>
      <x:c r="L11" s="36" t="str">
        <x:v>FMC</x:v>
      </x:c>
      <x:c r="M11" s="36" t="str">
        <x:v>Нет</x:v>
      </x:c>
      <x:c r="N11" s="36" t="str">
        <x:v>INSTALL</x:v>
      </x:c>
      <x:c r="O11" s="36" t="n">
        <x:v>60</x:v>
      </x:c>
      <x:c r="P11" s="36" t="str">
        <x:v>NORMAL</x:v>
      </x:c>
      <x:c r="Q11" s="36" t="str">
        <x:v>ANY</x:v>
      </x:c>
      <x:c r="R11" s="36" t="str">
        <x:v>DIAG_SET|INSTALL_SET|CABLE_PACK</x:v>
      </x:c>
      <x:c r="S11" s="49" t="n">
        <x:v>46251.291666666664</x:v>
      </x:c>
      <x:c r="T11" s="37" t="b">
        <x:v>0</x:v>
      </x:c>
      <x:c r="U11" s="36" t="str">
        <x:v>PENDING</x:v>
      </x:c>
      <x:c r="V11" s="36"/>
      <x:c r="W11" s="36"/>
      <x:c r="X11" s="36" t="str">
        <x:v>needs_geocoding</x:v>
      </x:c>
    </x:row>
    <x:row r="12" ht="15" hidden="0" customHeight="1">
      <x:c r="A12" s="36" t="str">
        <x:v>CORE</x:v>
      </x:c>
      <x:c r="B12" s="36" t="str">
        <x:v>EAST-87693</x:v>
      </x:c>
      <x:c r="C12" s="36" t="str">
        <x:v>87693</x:v>
      </x:c>
      <x:c r="D12" s="36" t="str">
        <x:v>EAST</x:v>
      </x:c>
      <x:c r="E12" s="36" t="str">
        <x:v>Восток</x:v>
      </x:c>
      <x:c r="F12" s="36" t="str">
        <x:v>Подключение</x:v>
      </x:c>
      <x:c r="G12" s="36" t="str">
        <x:v>Конвергенция абонента</x:v>
      </x:c>
      <x:c r="H12" s="49" t="n">
        <x:v>46251.666666666664</x:v>
      </x:c>
      <x:c r="I12" s="49" t="n">
        <x:v>46251.75</x:v>
      </x:c>
      <x:c r="J12" s="36" t="str">
        <x:v>Текстильщики</x:v>
      </x:c>
      <x:c r="K12" s="36" t="str">
        <x:v>Город Москва, ул.Чистова, д. 12</x:v>
      </x:c>
      <x:c r="L12" s="36" t="str">
        <x:v>FMC</x:v>
      </x:c>
      <x:c r="M12" s="36" t="str">
        <x:v>Нет</x:v>
      </x:c>
      <x:c r="N12" s="36" t="str">
        <x:v>INSTALL</x:v>
      </x:c>
      <x:c r="O12" s="36" t="n">
        <x:v>60</x:v>
      </x:c>
      <x:c r="P12" s="36" t="str">
        <x:v>NORMAL</x:v>
      </x:c>
      <x:c r="Q12" s="36" t="str">
        <x:v>ANY</x:v>
      </x:c>
      <x:c r="R12" s="36" t="str">
        <x:v>DIAG_SET|INSTALL_SET|CABLE_PACK</x:v>
      </x:c>
      <x:c r="S12" s="49" t="n">
        <x:v>46251.291666666664</x:v>
      </x:c>
      <x:c r="T12" s="37" t="b">
        <x:v>0</x:v>
      </x:c>
      <x:c r="U12" s="36" t="str">
        <x:v>PENDING</x:v>
      </x:c>
      <x:c r="V12" s="36"/>
      <x:c r="W12" s="36"/>
      <x:c r="X12" s="36" t="str">
        <x:v>needs_geocoding</x:v>
      </x:c>
    </x:row>
    <x:row r="13" ht="15" hidden="0" customHeight="1">
      <x:c r="A13" s="36" t="str">
        <x:v>CORE</x:v>
      </x:c>
      <x:c r="B13" s="36" t="str">
        <x:v>EAST-93086</x:v>
      </x:c>
      <x:c r="C13" s="36" t="str">
        <x:v>93086</x:v>
      </x:c>
      <x:c r="D13" s="36" t="str">
        <x:v>EAST</x:v>
      </x:c>
      <x:c r="E13" s="36" t="str">
        <x:v>Восток</x:v>
      </x:c>
      <x:c r="F13" s="36" t="str">
        <x:v>Подключение</x:v>
      </x:c>
      <x:c r="G13" s="36" t="str">
        <x:v>Конвергенция абонента</x:v>
      </x:c>
      <x:c r="H13" s="49" t="n">
        <x:v>46251.5</x:v>
      </x:c>
      <x:c r="I13" s="49" t="n">
        <x:v>46251.583333333336</x:v>
      </x:c>
      <x:c r="J13" s="36" t="str">
        <x:v>Рязанский</x:v>
      </x:c>
      <x:c r="K13" s="36" t="str">
        <x:v>Город Москва, ул.Паперника, д. 19</x:v>
      </x:c>
      <x:c r="L13" s="36" t="str">
        <x:v>FMC</x:v>
      </x:c>
      <x:c r="M13" s="36" t="str">
        <x:v>Нет</x:v>
      </x:c>
      <x:c r="N13" s="36" t="str">
        <x:v>INSTALL</x:v>
      </x:c>
      <x:c r="O13" s="36" t="n">
        <x:v>60</x:v>
      </x:c>
      <x:c r="P13" s="36" t="str">
        <x:v>NORMAL</x:v>
      </x:c>
      <x:c r="Q13" s="36" t="str">
        <x:v>ANY</x:v>
      </x:c>
      <x:c r="R13" s="36" t="str">
        <x:v>DIAG_SET|INSTALL_SET|CABLE_PACK</x:v>
      </x:c>
      <x:c r="S13" s="49" t="n">
        <x:v>46251.291666666664</x:v>
      </x:c>
      <x:c r="T13" s="37" t="b">
        <x:v>0</x:v>
      </x:c>
      <x:c r="U13" s="36" t="str">
        <x:v>PENDING</x:v>
      </x:c>
      <x:c r="V13" s="36"/>
      <x:c r="W13" s="36"/>
      <x:c r="X13" s="36" t="str">
        <x:v>needs_geocoding</x:v>
      </x:c>
    </x:row>
    <x:row r="14" ht="15" hidden="0" customHeight="1">
      <x:c r="A14" s="36" t="str">
        <x:v>CORE</x:v>
      </x:c>
      <x:c r="B14" s="36" t="str">
        <x:v>EAST-57866</x:v>
      </x:c>
      <x:c r="C14" s="36" t="str">
        <x:v>57866</x:v>
      </x:c>
      <x:c r="D14" s="36" t="str">
        <x:v>EAST</x:v>
      </x:c>
      <x:c r="E14" s="36" t="str">
        <x:v>Восток</x:v>
      </x:c>
      <x:c r="F14" s="36" t="str">
        <x:v>Подключение</x:v>
      </x:c>
      <x:c r="G14" s="36" t="str">
        <x:v>Конвергенция абонента</x:v>
      </x:c>
      <x:c r="H14" s="49" t="n">
        <x:v>46251.583333333336</x:v>
      </x:c>
      <x:c r="I14" s="49" t="n">
        <x:v>46251.666666666664</x:v>
      </x:c>
      <x:c r="J14" s="36" t="str">
        <x:v>Рязанский</x:v>
      </x:c>
      <x:c r="K14" s="36" t="str">
        <x:v>Город Москва, ул.Окская, д. 48/2</x:v>
      </x:c>
      <x:c r="L14" s="36" t="str">
        <x:v>FMC</x:v>
      </x:c>
      <x:c r="M14" s="36" t="str">
        <x:v>Нет</x:v>
      </x:c>
      <x:c r="N14" s="36" t="str">
        <x:v>INSTALL</x:v>
      </x:c>
      <x:c r="O14" s="36" t="n">
        <x:v>60</x:v>
      </x:c>
      <x:c r="P14" s="36" t="str">
        <x:v>NORMAL</x:v>
      </x:c>
      <x:c r="Q14" s="36" t="str">
        <x:v>ANY</x:v>
      </x:c>
      <x:c r="R14" s="36" t="str">
        <x:v>DIAG_SET|INSTALL_SET|CABLE_PACK</x:v>
      </x:c>
      <x:c r="S14" s="49" t="n">
        <x:v>46251.291666666664</x:v>
      </x:c>
      <x:c r="T14" s="37" t="b">
        <x:v>0</x:v>
      </x:c>
      <x:c r="U14" s="36" t="str">
        <x:v>PENDING</x:v>
      </x:c>
      <x:c r="V14" s="36"/>
      <x:c r="W14" s="36"/>
      <x:c r="X14" s="36" t="str">
        <x:v>needs_geocoding</x:v>
      </x:c>
    </x:row>
    <x:row r="15" ht="15" hidden="0" customHeight="1">
      <x:c r="A15" s="36" t="str">
        <x:v>CORE</x:v>
      </x:c>
      <x:c r="B15" s="36" t="str">
        <x:v>EAST-35675</x:v>
      </x:c>
      <x:c r="C15" s="36" t="str">
        <x:v>35675</x:v>
      </x:c>
      <x:c r="D15" s="36" t="str">
        <x:v>EAST</x:v>
      </x:c>
      <x:c r="E15" s="36" t="str">
        <x:v>Восток</x:v>
      </x:c>
      <x:c r="F15" s="36" t="str">
        <x:v>Подключение</x:v>
      </x:c>
      <x:c r="G15" s="36" t="str">
        <x:v>Конвергенция абонента</x:v>
      </x:c>
      <x:c r="H15" s="49" t="n">
        <x:v>46251.666666666664</x:v>
      </x:c>
      <x:c r="I15" s="49" t="n">
        <x:v>46251.75</x:v>
      </x:c>
      <x:c r="J15" s="36" t="str">
        <x:v>Южнопортовый</x:v>
      </x:c>
      <x:c r="K15" s="36" t="str">
        <x:v>Город Москва, ул.Трофимова, д. 24 к 2</x:v>
      </x:c>
      <x:c r="L15" s="36" t="str">
        <x:v>FMC</x:v>
      </x:c>
      <x:c r="M15" s="36" t="str">
        <x:v>Нет</x:v>
      </x:c>
      <x:c r="N15" s="36" t="str">
        <x:v>INSTALL</x:v>
      </x:c>
      <x:c r="O15" s="36" t="n">
        <x:v>60</x:v>
      </x:c>
      <x:c r="P15" s="36" t="str">
        <x:v>NORMAL</x:v>
      </x:c>
      <x:c r="Q15" s="36" t="str">
        <x:v>ANY</x:v>
      </x:c>
      <x:c r="R15" s="36" t="str">
        <x:v>DIAG_SET|INSTALL_SET|CABLE_PACK</x:v>
      </x:c>
      <x:c r="S15" s="49" t="n">
        <x:v>46251.291666666664</x:v>
      </x:c>
      <x:c r="T15" s="37" t="b">
        <x:v>0</x:v>
      </x:c>
      <x:c r="U15" s="36" t="str">
        <x:v>PENDING</x:v>
      </x:c>
      <x:c r="V15" s="36"/>
      <x:c r="W15" s="36"/>
      <x:c r="X15" s="36" t="str">
        <x:v>needs_geocoding</x:v>
      </x:c>
    </x:row>
    <x:row r="16" ht="15" hidden="0" customHeight="1">
      <x:c r="A16" s="36" t="str">
        <x:v>CORE</x:v>
      </x:c>
      <x:c r="B16" s="36" t="str">
        <x:v>EAST-82388</x:v>
      </x:c>
      <x:c r="C16" s="36" t="str">
        <x:v>82388</x:v>
      </x:c>
      <x:c r="D16" s="36" t="str">
        <x:v>EAST</x:v>
      </x:c>
      <x:c r="E16" s="36" t="str">
        <x:v>Восток</x:v>
      </x:c>
      <x:c r="F16" s="36" t="str">
        <x:v>Подключение</x:v>
      </x:c>
      <x:c r="G16" s="36" t="str">
        <x:v>Конвергенция абонента</x:v>
      </x:c>
      <x:c r="H16" s="49" t="n">
        <x:v>46251.583333333336</x:v>
      </x:c>
      <x:c r="I16" s="49" t="n">
        <x:v>46251.666666666664</x:v>
      </x:c>
      <x:c r="J16" s="36" t="str">
        <x:v>Южнопортовый</x:v>
      </x:c>
      <x:c r="K16" s="36" t="str">
        <x:v>Город Москва, ул.1-я Дубровская, д. 6</x:v>
      </x:c>
      <x:c r="L16" s="36" t="str">
        <x:v>FMC</x:v>
      </x:c>
      <x:c r="M16" s="36" t="str">
        <x:v>Нет</x:v>
      </x:c>
      <x:c r="N16" s="36" t="str">
        <x:v>INSTALL</x:v>
      </x:c>
      <x:c r="O16" s="36" t="n">
        <x:v>60</x:v>
      </x:c>
      <x:c r="P16" s="36" t="str">
        <x:v>NORMAL</x:v>
      </x:c>
      <x:c r="Q16" s="36" t="str">
        <x:v>ANY</x:v>
      </x:c>
      <x:c r="R16" s="36" t="str">
        <x:v>DIAG_SET|INSTALL_SET|CABLE_PACK</x:v>
      </x:c>
      <x:c r="S16" s="49" t="n">
        <x:v>46251.291666666664</x:v>
      </x:c>
      <x:c r="T16" s="37" t="b">
        <x:v>0</x:v>
      </x:c>
      <x:c r="U16" s="36" t="str">
        <x:v>PENDING</x:v>
      </x:c>
      <x:c r="V16" s="36"/>
      <x:c r="W16" s="36"/>
      <x:c r="X16" s="36" t="str">
        <x:v>needs_geocoding</x:v>
      </x:c>
    </x:row>
    <x:row r="17" ht="15" hidden="0" customHeight="1">
      <x:c r="A17" s="36" t="str">
        <x:v>CORE</x:v>
      </x:c>
      <x:c r="B17" s="36" t="str">
        <x:v>EAST-23380</x:v>
      </x:c>
      <x:c r="C17" s="36" t="str">
        <x:v>23380</x:v>
      </x:c>
      <x:c r="D17" s="36" t="str">
        <x:v>EAST</x:v>
      </x:c>
      <x:c r="E17" s="36" t="str">
        <x:v>Восток</x:v>
      </x:c>
      <x:c r="F17" s="36" t="str">
        <x:v>Подключение</x:v>
      </x:c>
      <x:c r="G17" s="36" t="str">
        <x:v>Конвергенция абонента</x:v>
      </x:c>
      <x:c r="H17" s="49" t="n">
        <x:v>46251.5</x:v>
      </x:c>
      <x:c r="I17" s="49" t="n">
        <x:v>46251.583333333336</x:v>
      </x:c>
      <x:c r="J17" s="36" t="str">
        <x:v>Таганский</x:v>
      </x:c>
      <x:c r="K17" s="36" t="str">
        <x:v>Город Москва, ул.Рогожский Вал, д. 2/50</x:v>
      </x:c>
      <x:c r="L17" s="36" t="str">
        <x:v>FMC</x:v>
      </x:c>
      <x:c r="M17" s="36" t="str">
        <x:v>Нет</x:v>
      </x:c>
      <x:c r="N17" s="36" t="str">
        <x:v>INSTALL</x:v>
      </x:c>
      <x:c r="O17" s="36" t="n">
        <x:v>60</x:v>
      </x:c>
      <x:c r="P17" s="36" t="str">
        <x:v>NORMAL</x:v>
      </x:c>
      <x:c r="Q17" s="36" t="str">
        <x:v>ANY</x:v>
      </x:c>
      <x:c r="R17" s="36" t="str">
        <x:v>DIAG_SET|INSTALL_SET|CABLE_PACK</x:v>
      </x:c>
      <x:c r="S17" s="49" t="n">
        <x:v>46251.291666666664</x:v>
      </x:c>
      <x:c r="T17" s="37" t="b">
        <x:v>0</x:v>
      </x:c>
      <x:c r="U17" s="36" t="str">
        <x:v>PENDING</x:v>
      </x:c>
      <x:c r="V17" s="36"/>
      <x:c r="W17" s="36"/>
      <x:c r="X17" s="36" t="str">
        <x:v>needs_geocoding</x:v>
      </x:c>
    </x:row>
    <x:row r="18" ht="15" hidden="0" customHeight="1">
      <x:c r="A18" s="36" t="str">
        <x:v>CORE</x:v>
      </x:c>
      <x:c r="B18" s="36" t="str">
        <x:v>EAST-37272</x:v>
      </x:c>
      <x:c r="C18" s="36" t="str">
        <x:v>37272</x:v>
      </x:c>
      <x:c r="D18" s="36" t="str">
        <x:v>EAST</x:v>
      </x:c>
      <x:c r="E18" s="36" t="str">
        <x:v>Восток</x:v>
      </x:c>
      <x:c r="F18" s="36" t="str">
        <x:v>Подключение</x:v>
      </x:c>
      <x:c r="G18" s="36" t="str">
        <x:v>Конвергенция абонента</x:v>
      </x:c>
      <x:c r="H18" s="49" t="n">
        <x:v>46251.416666666664</x:v>
      </x:c>
      <x:c r="I18" s="49" t="n">
        <x:v>46251.5</x:v>
      </x:c>
      <x:c r="J18" s="36" t="str">
        <x:v>Таганский</x:v>
      </x:c>
      <x:c r="K18" s="36" t="str">
        <x:v>Город Москва, ул.Талалихина, д. 2/1 к 4</x:v>
      </x:c>
      <x:c r="L18" s="36" t="str">
        <x:v>FMC</x:v>
      </x:c>
      <x:c r="M18" s="36" t="str">
        <x:v>Нет</x:v>
      </x:c>
      <x:c r="N18" s="36" t="str">
        <x:v>INSTALL</x:v>
      </x:c>
      <x:c r="O18" s="36" t="n">
        <x:v>60</x:v>
      </x:c>
      <x:c r="P18" s="36" t="str">
        <x:v>NORMAL</x:v>
      </x:c>
      <x:c r="Q18" s="36" t="str">
        <x:v>ANY</x:v>
      </x:c>
      <x:c r="R18" s="36" t="str">
        <x:v>DIAG_SET|INSTALL_SET|CABLE_PACK</x:v>
      </x:c>
      <x:c r="S18" s="49" t="n">
        <x:v>46251.291666666664</x:v>
      </x:c>
      <x:c r="T18" s="37" t="b">
        <x:v>0</x:v>
      </x:c>
      <x:c r="U18" s="36" t="str">
        <x:v>PENDING</x:v>
      </x:c>
      <x:c r="V18" s="36"/>
      <x:c r="W18" s="36"/>
      <x:c r="X18" s="36" t="str">
        <x:v>needs_geocoding</x:v>
      </x:c>
    </x:row>
    <x:row r="19" ht="15" hidden="0" customHeight="1">
      <x:c r="A19" s="36" t="str">
        <x:v>CORE</x:v>
      </x:c>
      <x:c r="B19" s="36" t="str">
        <x:v>EAST-71388</x:v>
      </x:c>
      <x:c r="C19" s="36" t="str">
        <x:v>71388</x:v>
      </x:c>
      <x:c r="D19" s="36" t="str">
        <x:v>EAST</x:v>
      </x:c>
      <x:c r="E19" s="36" t="str">
        <x:v>Восток</x:v>
      </x:c>
      <x:c r="F19" s="36" t="str">
        <x:v>Подключение</x:v>
      </x:c>
      <x:c r="G19" s="36" t="str">
        <x:v>Конвергенция абонента</x:v>
      </x:c>
      <x:c r="H19" s="49" t="n">
        <x:v>46251.583333333336</x:v>
      </x:c>
      <x:c r="I19" s="49" t="n">
        <x:v>46251.666666666664</x:v>
      </x:c>
      <x:c r="J19" s="36" t="str">
        <x:v>Текстильщики</x:v>
      </x:c>
      <x:c r="K19" s="36" t="str">
        <x:v>Город Москва, ул.Артюхиной, д. 20А</x:v>
      </x:c>
      <x:c r="L19" s="36" t="str">
        <x:v>FMC</x:v>
      </x:c>
      <x:c r="M19" s="36" t="str">
        <x:v>Нет</x:v>
      </x:c>
      <x:c r="N19" s="36" t="str">
        <x:v>INSTALL</x:v>
      </x:c>
      <x:c r="O19" s="36" t="n">
        <x:v>60</x:v>
      </x:c>
      <x:c r="P19" s="36" t="str">
        <x:v>NORMAL</x:v>
      </x:c>
      <x:c r="Q19" s="36" t="str">
        <x:v>ANY</x:v>
      </x:c>
      <x:c r="R19" s="36" t="str">
        <x:v>DIAG_SET|INSTALL_SET|CABLE_PACK</x:v>
      </x:c>
      <x:c r="S19" s="49" t="n">
        <x:v>46251.291666666664</x:v>
      </x:c>
      <x:c r="T19" s="37" t="b">
        <x:v>0</x:v>
      </x:c>
      <x:c r="U19" s="36" t="str">
        <x:v>PENDING</x:v>
      </x:c>
      <x:c r="V19" s="36"/>
      <x:c r="W19" s="36"/>
      <x:c r="X19" s="36" t="str">
        <x:v>needs_geocoding</x:v>
      </x:c>
    </x:row>
    <x:row r="20" ht="15" hidden="0" customHeight="1">
      <x:c r="A20" s="36" t="str">
        <x:v>CORE</x:v>
      </x:c>
      <x:c r="B20" s="36" t="str">
        <x:v>EAST-34366</x:v>
      </x:c>
      <x:c r="C20" s="36" t="str">
        <x:v>34366</x:v>
      </x:c>
      <x:c r="D20" s="36" t="str">
        <x:v>EAST</x:v>
      </x:c>
      <x:c r="E20" s="36" t="str">
        <x:v>Восток</x:v>
      </x:c>
      <x:c r="F20" s="36" t="str">
        <x:v>Подключение</x:v>
      </x:c>
      <x:c r="G20" s="36" t="str">
        <x:v>Конвергенция абонента</x:v>
      </x:c>
      <x:c r="H20" s="49" t="n">
        <x:v>46251.416666666664</x:v>
      </x:c>
      <x:c r="I20" s="49" t="n">
        <x:v>46251.5</x:v>
      </x:c>
      <x:c r="J20" s="36" t="str">
        <x:v>Текстильщики</x:v>
      </x:c>
      <x:c r="K20" s="36" t="str">
        <x:v>Город Москва, ул.Малышева, д. 13</x:v>
      </x:c>
      <x:c r="L20" s="36" t="str">
        <x:v>FMC</x:v>
      </x:c>
      <x:c r="M20" s="36" t="str">
        <x:v>Нет</x:v>
      </x:c>
      <x:c r="N20" s="36" t="str">
        <x:v>INSTALL</x:v>
      </x:c>
      <x:c r="O20" s="36" t="n">
        <x:v>60</x:v>
      </x:c>
      <x:c r="P20" s="36" t="str">
        <x:v>NORMAL</x:v>
      </x:c>
      <x:c r="Q20" s="36" t="str">
        <x:v>ANY</x:v>
      </x:c>
      <x:c r="R20" s="36" t="str">
        <x:v>DIAG_SET|INSTALL_SET|CABLE_PACK</x:v>
      </x:c>
      <x:c r="S20" s="49" t="n">
        <x:v>46251.291666666664</x:v>
      </x:c>
      <x:c r="T20" s="37" t="b">
        <x:v>0</x:v>
      </x:c>
      <x:c r="U20" s="36" t="str">
        <x:v>PENDING</x:v>
      </x:c>
      <x:c r="V20" s="36"/>
      <x:c r="W20" s="36"/>
      <x:c r="X20" s="36" t="str">
        <x:v>needs_geocoding</x:v>
      </x:c>
    </x:row>
    <x:row r="21" ht="15" hidden="0" customHeight="1">
      <x:c r="A21" s="36" t="str">
        <x:v>CORE</x:v>
      </x:c>
      <x:c r="B21" s="36" t="str">
        <x:v>EAST-67554</x:v>
      </x:c>
      <x:c r="C21" s="36" t="str">
        <x:v>67554</x:v>
      </x:c>
      <x:c r="D21" s="36" t="str">
        <x:v>EAST</x:v>
      </x:c>
      <x:c r="E21" s="36" t="str">
        <x:v>Восток</x:v>
      </x:c>
      <x:c r="F21" s="36" t="str">
        <x:v>Подключение</x:v>
      </x:c>
      <x:c r="G21" s="36" t="str">
        <x:v>Заявка на подключение</x:v>
      </x:c>
      <x:c r="H21" s="49" t="n">
        <x:v>46251.5</x:v>
      </x:c>
      <x:c r="I21" s="49" t="n">
        <x:v>46251.583333333336</x:v>
      </x:c>
      <x:c r="J21" s="36" t="str">
        <x:v>Нижегородский</x:v>
      </x:c>
      <x:c r="K21" s="36" t="str">
        <x:v>Город Москва, ул.Бронницкая, д. 12</x:v>
      </x:c>
      <x:c r="L21" s="36" t="str"/>
      <x:c r="M21" s="36" t="str">
        <x:v>Нет</x:v>
      </x:c>
      <x:c r="N21" s="36" t="str">
        <x:v>INSTALL</x:v>
      </x:c>
      <x:c r="O21" s="36" t="n">
        <x:v>90</x:v>
      </x:c>
      <x:c r="P21" s="36" t="str">
        <x:v>NORMAL</x:v>
      </x:c>
      <x:c r="Q21" s="36" t="str">
        <x:v>ANY</x:v>
      </x:c>
      <x:c r="R21" s="36" t="str">
        <x:v>DIAG_SET|INSTALL_SET|CABLE_PACK</x:v>
      </x:c>
      <x:c r="S21" s="49" t="n">
        <x:v>46251.291666666664</x:v>
      </x:c>
      <x:c r="T21" s="37" t="b">
        <x:v>0</x:v>
      </x:c>
      <x:c r="U21" s="36" t="str">
        <x:v>PENDING</x:v>
      </x:c>
      <x:c r="V21" s="36"/>
      <x:c r="W21" s="36"/>
      <x:c r="X21" s="36" t="str">
        <x:v>needs_geocoding</x:v>
      </x:c>
    </x:row>
    <x:row r="22" ht="15" hidden="0" customHeight="1">
      <x:c r="A22" s="36" t="str">
        <x:v>CORE</x:v>
      </x:c>
      <x:c r="B22" s="36" t="str">
        <x:v>EAST-94409</x:v>
      </x:c>
      <x:c r="C22" s="36" t="str">
        <x:v>94409</x:v>
      </x:c>
      <x:c r="D22" s="36" t="str">
        <x:v>EAST</x:v>
      </x:c>
      <x:c r="E22" s="36" t="str">
        <x:v>Восток</x:v>
      </x:c>
      <x:c r="F22" s="36" t="str">
        <x:v>Подключение</x:v>
      </x:c>
      <x:c r="G22" s="36" t="str">
        <x:v>Конвергенция абонента</x:v>
      </x:c>
      <x:c r="H22" s="49" t="n">
        <x:v>46251.5</x:v>
      </x:c>
      <x:c r="I22" s="49" t="n">
        <x:v>46251.583333333336</x:v>
      </x:c>
      <x:c r="J22" s="36" t="str">
        <x:v>Лефортово</x:v>
      </x:c>
      <x:c r="K22" s="36" t="str">
        <x:v>Город Москва, ул.Авиамоторная, д. 14</x:v>
      </x:c>
      <x:c r="L22" s="36" t="str">
        <x:v>FMC</x:v>
      </x:c>
      <x:c r="M22" s="36" t="str">
        <x:v>Нет</x:v>
      </x:c>
      <x:c r="N22" s="36" t="str">
        <x:v>INSTALL</x:v>
      </x:c>
      <x:c r="O22" s="36" t="n">
        <x:v>60</x:v>
      </x:c>
      <x:c r="P22" s="36" t="str">
        <x:v>NORMAL</x:v>
      </x:c>
      <x:c r="Q22" s="36" t="str">
        <x:v>ANY</x:v>
      </x:c>
      <x:c r="R22" s="36" t="str">
        <x:v>DIAG_SET|INSTALL_SET|CABLE_PACK</x:v>
      </x:c>
      <x:c r="S22" s="49" t="n">
        <x:v>46251.291666666664</x:v>
      </x:c>
      <x:c r="T22" s="37" t="b">
        <x:v>0</x:v>
      </x:c>
      <x:c r="U22" s="36" t="str">
        <x:v>PENDING</x:v>
      </x:c>
      <x:c r="V22" s="36"/>
      <x:c r="W22" s="36"/>
      <x:c r="X22" s="36" t="str">
        <x:v>needs_geocoding</x:v>
      </x:c>
    </x:row>
    <x:row r="23" ht="15" hidden="0" customHeight="1">
      <x:c r="A23" s="36" t="str">
        <x:v>CORE</x:v>
      </x:c>
      <x:c r="B23" s="36" t="str">
        <x:v>EAST-10245</x:v>
      </x:c>
      <x:c r="C23" s="36" t="str">
        <x:v>10245</x:v>
      </x:c>
      <x:c r="D23" s="36" t="str">
        <x:v>EAST</x:v>
      </x:c>
      <x:c r="E23" s="36" t="str">
        <x:v>Восток</x:v>
      </x:c>
      <x:c r="F23" s="36" t="str">
        <x:v>Подключение</x:v>
      </x:c>
      <x:c r="G23" s="36" t="str">
        <x:v>Конвергенция абонента</x:v>
      </x:c>
      <x:c r="H23" s="49" t="n">
        <x:v>46251.5</x:v>
      </x:c>
      <x:c r="I23" s="49" t="n">
        <x:v>46251.583333333336</x:v>
      </x:c>
      <x:c r="J23" s="36" t="str">
        <x:v>Кузьминки</x:v>
      </x:c>
      <x:c r="K23" s="36" t="str">
        <x:v>Город Москва, ул.Фёдора Полетаева, д. 2 к 6</x:v>
      </x:c>
      <x:c r="L23" s="36" t="str">
        <x:v>FMC</x:v>
      </x:c>
      <x:c r="M23" s="36" t="str">
        <x:v>Нет</x:v>
      </x:c>
      <x:c r="N23" s="36" t="str">
        <x:v>INSTALL</x:v>
      </x:c>
      <x:c r="O23" s="36" t="n">
        <x:v>60</x:v>
      </x:c>
      <x:c r="P23" s="36" t="str">
        <x:v>NORMAL</x:v>
      </x:c>
      <x:c r="Q23" s="36" t="str">
        <x:v>ANY</x:v>
      </x:c>
      <x:c r="R23" s="36" t="str">
        <x:v>DIAG_SET|INSTALL_SET|CABLE_PACK</x:v>
      </x:c>
      <x:c r="S23" s="49" t="n">
        <x:v>46251.291666666664</x:v>
      </x:c>
      <x:c r="T23" s="37" t="b">
        <x:v>0</x:v>
      </x:c>
      <x:c r="U23" s="36" t="str">
        <x:v>PENDING</x:v>
      </x:c>
      <x:c r="V23" s="36"/>
      <x:c r="W23" s="36"/>
      <x:c r="X23" s="36" t="str">
        <x:v>needs_geocoding</x:v>
      </x:c>
    </x:row>
    <x:row r="24" ht="15" hidden="0" customHeight="1">
      <x:c r="A24" s="36" t="str">
        <x:v>CORE</x:v>
      </x:c>
      <x:c r="B24" s="36" t="str">
        <x:v>EAST-52405</x:v>
      </x:c>
      <x:c r="C24" s="36" t="str">
        <x:v>52405</x:v>
      </x:c>
      <x:c r="D24" s="36" t="str">
        <x:v>EAST</x:v>
      </x:c>
      <x:c r="E24" s="36" t="str">
        <x:v>Восток</x:v>
      </x:c>
      <x:c r="F24" s="36" t="str">
        <x:v>Подключение</x:v>
      </x:c>
      <x:c r="G24" s="36" t="str">
        <x:v>Конвергенция абонента</x:v>
      </x:c>
      <x:c r="H24" s="49" t="n">
        <x:v>46251.416666666664</x:v>
      </x:c>
      <x:c r="I24" s="49" t="n">
        <x:v>46251.5</x:v>
      </x:c>
      <x:c r="J24" s="36" t="str">
        <x:v>Рязанский</x:v>
      </x:c>
      <x:c r="K24" s="36" t="str">
        <x:v>Город Москва, ул.Зарайская, д. 51 к 2</x:v>
      </x:c>
      <x:c r="L24" s="36" t="str">
        <x:v>FMC</x:v>
      </x:c>
      <x:c r="M24" s="36" t="str">
        <x:v>Нет</x:v>
      </x:c>
      <x:c r="N24" s="36" t="str">
        <x:v>INSTALL</x:v>
      </x:c>
      <x:c r="O24" s="36" t="n">
        <x:v>60</x:v>
      </x:c>
      <x:c r="P24" s="36" t="str">
        <x:v>NORMAL</x:v>
      </x:c>
      <x:c r="Q24" s="36" t="str">
        <x:v>ANY</x:v>
      </x:c>
      <x:c r="R24" s="36" t="str">
        <x:v>DIAG_SET|INSTALL_SET|CABLE_PACK</x:v>
      </x:c>
      <x:c r="S24" s="49" t="n">
        <x:v>46251.291666666664</x:v>
      </x:c>
      <x:c r="T24" s="37" t="b">
        <x:v>0</x:v>
      </x:c>
      <x:c r="U24" s="36" t="str">
        <x:v>PENDING</x:v>
      </x:c>
      <x:c r="V24" s="36"/>
      <x:c r="W24" s="36"/>
      <x:c r="X24" s="36" t="str">
        <x:v>needs_geocoding</x:v>
      </x:c>
    </x:row>
    <x:row r="25" ht="15" hidden="0" customHeight="1">
      <x:c r="A25" s="36" t="str">
        <x:v>CORE</x:v>
      </x:c>
      <x:c r="B25" s="36" t="str">
        <x:v>EAST-30769</x:v>
      </x:c>
      <x:c r="C25" s="36" t="str">
        <x:v>30769</x:v>
      </x:c>
      <x:c r="D25" s="36" t="str">
        <x:v>EAST</x:v>
      </x:c>
      <x:c r="E25" s="36" t="str">
        <x:v>Восток</x:v>
      </x:c>
      <x:c r="F25" s="36" t="str">
        <x:v>Подключение</x:v>
      </x:c>
      <x:c r="G25" s="36" t="str">
        <x:v>Конвергенция абонента</x:v>
      </x:c>
      <x:c r="H25" s="49" t="n">
        <x:v>46251.583333333336</x:v>
      </x:c>
      <x:c r="I25" s="49" t="n">
        <x:v>46251.666666666664</x:v>
      </x:c>
      <x:c r="J25" s="36" t="str">
        <x:v>Текстильщики</x:v>
      </x:c>
      <x:c r="K25" s="36" t="str">
        <x:v>Город Москва, ул.Саратовская, д. 14/1</x:v>
      </x:c>
      <x:c r="L25" s="36" t="str">
        <x:v>FMC</x:v>
      </x:c>
      <x:c r="M25" s="36" t="str">
        <x:v>Нет</x:v>
      </x:c>
      <x:c r="N25" s="36" t="str">
        <x:v>INSTALL</x:v>
      </x:c>
      <x:c r="O25" s="36" t="n">
        <x:v>60</x:v>
      </x:c>
      <x:c r="P25" s="36" t="str">
        <x:v>NORMAL</x:v>
      </x:c>
      <x:c r="Q25" s="36" t="str">
        <x:v>ANY</x:v>
      </x:c>
      <x:c r="R25" s="36" t="str">
        <x:v>DIAG_SET|INSTALL_SET|CABLE_PACK</x:v>
      </x:c>
      <x:c r="S25" s="49" t="n">
        <x:v>46251.291666666664</x:v>
      </x:c>
      <x:c r="T25" s="37" t="b">
        <x:v>0</x:v>
      </x:c>
      <x:c r="U25" s="36" t="str">
        <x:v>PENDING</x:v>
      </x:c>
      <x:c r="V25" s="36"/>
      <x:c r="W25" s="36"/>
      <x:c r="X25" s="36" t="str">
        <x:v>needs_geocoding</x:v>
      </x:c>
    </x:row>
    <x:row r="26" ht="15" hidden="0" customHeight="1">
      <x:c r="A26" s="36" t="str">
        <x:v>CORE</x:v>
      </x:c>
      <x:c r="B26" s="36" t="str">
        <x:v>EAST-98182</x:v>
      </x:c>
      <x:c r="C26" s="36" t="str">
        <x:v>98182</x:v>
      </x:c>
      <x:c r="D26" s="36" t="str">
        <x:v>EAST</x:v>
      </x:c>
      <x:c r="E26" s="36" t="str">
        <x:v>Восток</x:v>
      </x:c>
      <x:c r="F26" s="36" t="str">
        <x:v>Подключение</x:v>
      </x:c>
      <x:c r="G26" s="36" t="str">
        <x:v>Заявка на подключение</x:v>
      </x:c>
      <x:c r="H26" s="49" t="n">
        <x:v>46251.416666666664</x:v>
      </x:c>
      <x:c r="I26" s="49" t="n">
        <x:v>46251.5</x:v>
      </x:c>
      <x:c r="J26" s="36" t="str">
        <x:v>Нижегородский</x:v>
      </x:c>
      <x:c r="K26" s="36" t="str">
        <x:v>Город Москва, ул.Нижегородская, д. 63</x:v>
      </x:c>
      <x:c r="L26" s="36" t="str"/>
      <x:c r="M26" s="36" t="str">
        <x:v>Нет</x:v>
      </x:c>
      <x:c r="N26" s="36" t="str">
        <x:v>INSTALL</x:v>
      </x:c>
      <x:c r="O26" s="36" t="n">
        <x:v>90</x:v>
      </x:c>
      <x:c r="P26" s="36" t="str">
        <x:v>NORMAL</x:v>
      </x:c>
      <x:c r="Q26" s="36" t="str">
        <x:v>ANY</x:v>
      </x:c>
      <x:c r="R26" s="36" t="str">
        <x:v>DIAG_SET|INSTALL_SET|CABLE_PACK</x:v>
      </x:c>
      <x:c r="S26" s="49" t="n">
        <x:v>46251.291666666664</x:v>
      </x:c>
      <x:c r="T26" s="37" t="b">
        <x:v>0</x:v>
      </x:c>
      <x:c r="U26" s="36" t="str">
        <x:v>PENDING</x:v>
      </x:c>
      <x:c r="V26" s="36"/>
      <x:c r="W26" s="36"/>
      <x:c r="X26" s="36" t="str">
        <x:v>needs_geocoding</x:v>
      </x:c>
    </x:row>
    <x:row r="27" ht="15" hidden="0" customHeight="1">
      <x:c r="A27" s="36" t="str">
        <x:v>CORE</x:v>
      </x:c>
      <x:c r="B27" s="36" t="str">
        <x:v>EAST-76082</x:v>
      </x:c>
      <x:c r="C27" s="36" t="str">
        <x:v>76082</x:v>
      </x:c>
      <x:c r="D27" s="36" t="str">
        <x:v>EAST</x:v>
      </x:c>
      <x:c r="E27" s="36" t="str">
        <x:v>Восток</x:v>
      </x:c>
      <x:c r="F27" s="36" t="str">
        <x:v>Подключение</x:v>
      </x:c>
      <x:c r="G27" s="36" t="str">
        <x:v>Заказ подключения/Дозаказ оборудования</x:v>
      </x:c>
      <x:c r="H27" s="49" t="n">
        <x:v>46251.5</x:v>
      </x:c>
      <x:c r="I27" s="49" t="n">
        <x:v>46251.583333333336</x:v>
      </x:c>
      <x:c r="J27" s="36" t="str">
        <x:v>Нижегородский</x:v>
      </x:c>
      <x:c r="K27" s="36" t="str">
        <x:v>Город Москва, ул.Смирновская, д. 6</x:v>
      </x:c>
      <x:c r="L27" s="36" t="str">
        <x:v>FTTB</x:v>
      </x:c>
      <x:c r="M27" s="36" t="str">
        <x:v>Нет</x:v>
      </x:c>
      <x:c r="N27" s="36" t="str">
        <x:v>INSTALL</x:v>
      </x:c>
      <x:c r="O27" s="36" t="n">
        <x:v>75</x:v>
      </x:c>
      <x:c r="P27" s="36" t="str">
        <x:v>NORMAL</x:v>
      </x:c>
      <x:c r="Q27" s="36" t="str">
        <x:v>ANY</x:v>
      </x:c>
      <x:c r="R27" s="36" t="str">
        <x:v>DIAG_SET|INSTALL_SET|CABLE_PACK</x:v>
      </x:c>
      <x:c r="S27" s="49" t="n">
        <x:v>46251.291666666664</x:v>
      </x:c>
      <x:c r="T27" s="37" t="b">
        <x:v>0</x:v>
      </x:c>
      <x:c r="U27" s="36" t="str">
        <x:v>PENDING</x:v>
      </x:c>
      <x:c r="V27" s="36"/>
      <x:c r="W27" s="36"/>
      <x:c r="X27" s="36" t="str">
        <x:v>needs_geocoding</x:v>
      </x:c>
    </x:row>
    <x:row r="28" ht="15" hidden="0" customHeight="1">
      <x:c r="A28" s="36" t="str">
        <x:v>CORE</x:v>
      </x:c>
      <x:c r="B28" s="36" t="str">
        <x:v>EAST-29890</x:v>
      </x:c>
      <x:c r="C28" s="36" t="str">
        <x:v>29890</x:v>
      </x:c>
      <x:c r="D28" s="36" t="str">
        <x:v>EAST</x:v>
      </x:c>
      <x:c r="E28" s="36" t="str">
        <x:v>Восток</x:v>
      </x:c>
      <x:c r="F28" s="36" t="str">
        <x:v>Подключение</x:v>
      </x:c>
      <x:c r="G28" s="36" t="str">
        <x:v>Конвергенция абонента</x:v>
      </x:c>
      <x:c r="H28" s="49" t="n">
        <x:v>46251.5</x:v>
      </x:c>
      <x:c r="I28" s="49" t="n">
        <x:v>46251.583333333336</x:v>
      </x:c>
      <x:c r="J28" s="36" t="str">
        <x:v>Нижегородский</x:v>
      </x:c>
      <x:c r="K28" s="36" t="str">
        <x:v>Город Москва, ул.Нижегородская, д. 61</x:v>
      </x:c>
      <x:c r="L28" s="36" t="str">
        <x:v>FMC</x:v>
      </x:c>
      <x:c r="M28" s="36" t="str">
        <x:v>Нет</x:v>
      </x:c>
      <x:c r="N28" s="36" t="str">
        <x:v>INSTALL</x:v>
      </x:c>
      <x:c r="O28" s="36" t="n">
        <x:v>60</x:v>
      </x:c>
      <x:c r="P28" s="36" t="str">
        <x:v>NORMAL</x:v>
      </x:c>
      <x:c r="Q28" s="36" t="str">
        <x:v>ANY</x:v>
      </x:c>
      <x:c r="R28" s="36" t="str">
        <x:v>DIAG_SET|INSTALL_SET|CABLE_PACK</x:v>
      </x:c>
      <x:c r="S28" s="49" t="n">
        <x:v>46251.291666666664</x:v>
      </x:c>
      <x:c r="T28" s="37" t="b">
        <x:v>0</x:v>
      </x:c>
      <x:c r="U28" s="36" t="str">
        <x:v>PENDING</x:v>
      </x:c>
      <x:c r="V28" s="36"/>
      <x:c r="W28" s="36"/>
      <x:c r="X28" s="36" t="str">
        <x:v>needs_geocoding</x:v>
      </x:c>
    </x:row>
    <x:row r="29" ht="15" hidden="0" customHeight="1">
      <x:c r="A29" s="36" t="str">
        <x:v>CORE</x:v>
      </x:c>
      <x:c r="B29" s="36" t="str">
        <x:v>EAST-77563</x:v>
      </x:c>
      <x:c r="C29" s="36" t="str">
        <x:v>77563</x:v>
      </x:c>
      <x:c r="D29" s="36" t="str">
        <x:v>EAST</x:v>
      </x:c>
      <x:c r="E29" s="36" t="str">
        <x:v>Восток</x:v>
      </x:c>
      <x:c r="F29" s="36" t="str">
        <x:v>Подключение</x:v>
      </x:c>
      <x:c r="G29" s="36" t="str">
        <x:v>Конвергенция абонента</x:v>
      </x:c>
      <x:c r="H29" s="49" t="n">
        <x:v>46251.416666666664</x:v>
      </x:c>
      <x:c r="I29" s="49" t="n">
        <x:v>46251.5</x:v>
      </x:c>
      <x:c r="J29" s="36" t="str">
        <x:v>Кузьминки</x:v>
      </x:c>
      <x:c r="K29" s="36" t="str">
        <x:v>Город Москва, ул.Зеленодольская, д. 28Б</x:v>
      </x:c>
      <x:c r="L29" s="36" t="str">
        <x:v>FMC</x:v>
      </x:c>
      <x:c r="M29" s="36" t="str">
        <x:v>Нет</x:v>
      </x:c>
      <x:c r="N29" s="36" t="str">
        <x:v>INSTALL</x:v>
      </x:c>
      <x:c r="O29" s="36" t="n">
        <x:v>60</x:v>
      </x:c>
      <x:c r="P29" s="36" t="str">
        <x:v>NORMAL</x:v>
      </x:c>
      <x:c r="Q29" s="36" t="str">
        <x:v>ANY</x:v>
      </x:c>
      <x:c r="R29" s="36" t="str">
        <x:v>DIAG_SET|INSTALL_SET|CABLE_PACK</x:v>
      </x:c>
      <x:c r="S29" s="49" t="n">
        <x:v>46251.291666666664</x:v>
      </x:c>
      <x:c r="T29" s="37" t="b">
        <x:v>0</x:v>
      </x:c>
      <x:c r="U29" s="36" t="str">
        <x:v>PENDING</x:v>
      </x:c>
      <x:c r="V29" s="36"/>
      <x:c r="W29" s="36"/>
      <x:c r="X29" s="36" t="str">
        <x:v>needs_geocoding</x:v>
      </x:c>
    </x:row>
    <x:row r="30" ht="15" hidden="0" customHeight="1">
      <x:c r="A30" s="36" t="str">
        <x:v>CORE</x:v>
      </x:c>
      <x:c r="B30" s="36" t="str">
        <x:v>EAST-53587</x:v>
      </x:c>
      <x:c r="C30" s="36" t="str">
        <x:v>53587</x:v>
      </x:c>
      <x:c r="D30" s="36" t="str">
        <x:v>EAST</x:v>
      </x:c>
      <x:c r="E30" s="36" t="str">
        <x:v>Восток</x:v>
      </x:c>
      <x:c r="F30" s="36" t="str">
        <x:v>Подключение</x:v>
      </x:c>
      <x:c r="G30" s="36" t="str">
        <x:v>Конвергенция абонента</x:v>
      </x:c>
      <x:c r="H30" s="49" t="n">
        <x:v>46251.5</x:v>
      </x:c>
      <x:c r="I30" s="49" t="n">
        <x:v>46251.583333333336</x:v>
      </x:c>
      <x:c r="J30" s="36" t="str">
        <x:v>Текстильщики</x:v>
      </x:c>
      <x:c r="K30" s="36" t="str">
        <x:v>Город Москва, ул.Артюхиной, д. 16</x:v>
      </x:c>
      <x:c r="L30" s="36" t="str">
        <x:v>FMC</x:v>
      </x:c>
      <x:c r="M30" s="36" t="str">
        <x:v>Нет</x:v>
      </x:c>
      <x:c r="N30" s="36" t="str">
        <x:v>INSTALL</x:v>
      </x:c>
      <x:c r="O30" s="36" t="n">
        <x:v>60</x:v>
      </x:c>
      <x:c r="P30" s="36" t="str">
        <x:v>NORMAL</x:v>
      </x:c>
      <x:c r="Q30" s="36" t="str">
        <x:v>ANY</x:v>
      </x:c>
      <x:c r="R30" s="36" t="str">
        <x:v>DIAG_SET|INSTALL_SET|CABLE_PACK</x:v>
      </x:c>
      <x:c r="S30" s="49" t="n">
        <x:v>46251.291666666664</x:v>
      </x:c>
      <x:c r="T30" s="37" t="b">
        <x:v>0</x:v>
      </x:c>
      <x:c r="U30" s="36" t="str">
        <x:v>PENDING</x:v>
      </x:c>
      <x:c r="V30" s="36"/>
      <x:c r="W30" s="36"/>
      <x:c r="X30" s="36" t="str">
        <x:v>needs_geocoding</x:v>
      </x:c>
    </x:row>
    <x:row r="31" ht="15" hidden="0" customHeight="1">
      <x:c r="A31" s="36" t="str">
        <x:v>CORE</x:v>
      </x:c>
      <x:c r="B31" s="36" t="str">
        <x:v>EAST-82808</x:v>
      </x:c>
      <x:c r="C31" s="36" t="str">
        <x:v>82808</x:v>
      </x:c>
      <x:c r="D31" s="36" t="str">
        <x:v>EAST</x:v>
      </x:c>
      <x:c r="E31" s="36" t="str">
        <x:v>Восток</x:v>
      </x:c>
      <x:c r="F31" s="36" t="str">
        <x:v>Подключение</x:v>
      </x:c>
      <x:c r="G31" s="36" t="str">
        <x:v>Конвергенция абонента</x:v>
      </x:c>
      <x:c r="H31" s="49" t="n">
        <x:v>46251.583333333336</x:v>
      </x:c>
      <x:c r="I31" s="49" t="n">
        <x:v>46251.666666666664</x:v>
      </x:c>
      <x:c r="J31" s="36" t="str">
        <x:v>Нижегородский</x:v>
      </x:c>
      <x:c r="K31" s="36" t="str">
        <x:v>Город Москва, ул.3-я Карачаровская, д. 4 к 1</x:v>
      </x:c>
      <x:c r="L31" s="36" t="str">
        <x:v>FMC</x:v>
      </x:c>
      <x:c r="M31" s="36" t="str">
        <x:v>Нет</x:v>
      </x:c>
      <x:c r="N31" s="36" t="str">
        <x:v>INSTALL</x:v>
      </x:c>
      <x:c r="O31" s="36" t="n">
        <x:v>60</x:v>
      </x:c>
      <x:c r="P31" s="36" t="str">
        <x:v>NORMAL</x:v>
      </x:c>
      <x:c r="Q31" s="36" t="str">
        <x:v>ANY</x:v>
      </x:c>
      <x:c r="R31" s="36" t="str">
        <x:v>DIAG_SET|INSTALL_SET|CABLE_PACK</x:v>
      </x:c>
      <x:c r="S31" s="49" t="n">
        <x:v>46251.291666666664</x:v>
      </x:c>
      <x:c r="T31" s="37" t="b">
        <x:v>0</x:v>
      </x:c>
      <x:c r="U31" s="36" t="str">
        <x:v>PENDING</x:v>
      </x:c>
      <x:c r="V31" s="36"/>
      <x:c r="W31" s="36"/>
      <x:c r="X31" s="36" t="str">
        <x:v>needs_geocoding</x:v>
      </x:c>
    </x:row>
    <x:row r="32" ht="15" hidden="0" customHeight="1">
      <x:c r="A32" s="36" t="str">
        <x:v>CORE</x:v>
      </x:c>
      <x:c r="B32" s="36" t="str">
        <x:v>EAST-7939</x:v>
      </x:c>
      <x:c r="C32" s="36" t="str">
        <x:v>7939</x:v>
      </x:c>
      <x:c r="D32" s="36" t="str">
        <x:v>EAST</x:v>
      </x:c>
      <x:c r="E32" s="36" t="str">
        <x:v>Восток</x:v>
      </x:c>
      <x:c r="F32" s="36" t="str">
        <x:v>Подключение</x:v>
      </x:c>
      <x:c r="G32" s="36" t="str">
        <x:v>Конвергенция абонента</x:v>
      </x:c>
      <x:c r="H32" s="49" t="n">
        <x:v>46251.5</x:v>
      </x:c>
      <x:c r="I32" s="49" t="n">
        <x:v>46251.583333333336</x:v>
      </x:c>
      <x:c r="J32" s="36" t="str">
        <x:v>Рязанский</x:v>
      </x:c>
      <x:c r="K32" s="36" t="str">
        <x:v>Город Москва, пр-кт.Рязанский, д. 73</x:v>
      </x:c>
      <x:c r="L32" s="36" t="str">
        <x:v>FMC</x:v>
      </x:c>
      <x:c r="M32" s="36" t="str">
        <x:v>Нет</x:v>
      </x:c>
      <x:c r="N32" s="36" t="str">
        <x:v>INSTALL</x:v>
      </x:c>
      <x:c r="O32" s="36" t="n">
        <x:v>60</x:v>
      </x:c>
      <x:c r="P32" s="36" t="str">
        <x:v>NORMAL</x:v>
      </x:c>
      <x:c r="Q32" s="36" t="str">
        <x:v>ANY</x:v>
      </x:c>
      <x:c r="R32" s="36" t="str">
        <x:v>DIAG_SET|INSTALL_SET|CABLE_PACK</x:v>
      </x:c>
      <x:c r="S32" s="49" t="n">
        <x:v>46251.291666666664</x:v>
      </x:c>
      <x:c r="T32" s="37" t="b">
        <x:v>0</x:v>
      </x:c>
      <x:c r="U32" s="36" t="str">
        <x:v>PENDING</x:v>
      </x:c>
      <x:c r="V32" s="36"/>
      <x:c r="W32" s="36"/>
      <x:c r="X32" s="36" t="str">
        <x:v>needs_geocoding</x:v>
      </x:c>
    </x:row>
    <x:row r="33" ht="15" hidden="0" customHeight="1">
      <x:c r="A33" s="36" t="str">
        <x:v>CORE</x:v>
      </x:c>
      <x:c r="B33" s="36" t="str">
        <x:v>EAST-92031</x:v>
      </x:c>
      <x:c r="C33" s="36" t="str">
        <x:v>92031</x:v>
      </x:c>
      <x:c r="D33" s="36" t="str">
        <x:v>EAST</x:v>
      </x:c>
      <x:c r="E33" s="36" t="str">
        <x:v>Восток</x:v>
      </x:c>
      <x:c r="F33" s="36" t="str">
        <x:v>Дозаказ</x:v>
      </x:c>
      <x:c r="G33" s="36" t="str">
        <x:v>Дозаказ оборудования</x:v>
      </x:c>
      <x:c r="H33" s="49" t="n">
        <x:v>46251.75</x:v>
      </x:c>
      <x:c r="I33" s="49" t="n">
        <x:v>46251.833333333336</x:v>
      </x:c>
      <x:c r="J33" s="36" t="str">
        <x:v>Выхино</x:v>
      </x:c>
      <x:c r="K33" s="36" t="str">
        <x:v>Город Москва, ул.Ферганская, д. 28/7</x:v>
      </x:c>
      <x:c r="L33" s="36" t="str">
        <x:v>FMC</x:v>
      </x:c>
      <x:c r="M33" s="36" t="str">
        <x:v>Нет</x:v>
      </x:c>
      <x:c r="N33" s="36" t="str">
        <x:v>INSTALL</x:v>
      </x:c>
      <x:c r="O33" s="36" t="n">
        <x:v>45</x:v>
      </x:c>
      <x:c r="P33" s="36" t="str">
        <x:v>NORMAL</x:v>
      </x:c>
      <x:c r="Q33" s="36" t="str">
        <x:v>ANY</x:v>
      </x:c>
      <x:c r="R33" s="36" t="str">
        <x:v>DIAG_SET|INSTALL_SET</x:v>
      </x:c>
      <x:c r="S33" s="49" t="n">
        <x:v>46251.291666666664</x:v>
      </x:c>
      <x:c r="T33" s="37" t="b">
        <x:v>0</x:v>
      </x:c>
      <x:c r="U33" s="36" t="str">
        <x:v>PENDING</x:v>
      </x:c>
      <x:c r="V33" s="36"/>
      <x:c r="W33" s="36"/>
      <x:c r="X33" s="36" t="str">
        <x:v>needs_geocoding</x:v>
      </x:c>
    </x:row>
    <x:row r="34" ht="15" hidden="0" customHeight="1">
      <x:c r="A34" s="36" t="str">
        <x:v>CORE</x:v>
      </x:c>
      <x:c r="B34" s="36" t="str">
        <x:v>EAST-31260</x:v>
      </x:c>
      <x:c r="C34" s="36" t="str">
        <x:v>31260</x:v>
      </x:c>
      <x:c r="D34" s="36" t="str">
        <x:v>EAST</x:v>
      </x:c>
      <x:c r="E34" s="36" t="str">
        <x:v>Восток</x:v>
      </x:c>
      <x:c r="F34" s="36" t="str">
        <x:v>Дозаказ</x:v>
      </x:c>
      <x:c r="G34" s="36" t="str">
        <x:v>Дозаказ оборудования</x:v>
      </x:c>
      <x:c r="H34" s="49" t="n">
        <x:v>46251.833333333336</x:v>
      </x:c>
      <x:c r="I34" s="49" t="n">
        <x:v>46251.916666666664</x:v>
      </x:c>
      <x:c r="J34" s="36" t="str">
        <x:v>Выхино</x:v>
      </x:c>
      <x:c r="K34" s="36" t="str">
        <x:v>Город Москва, б-р.Самаркандский Квартал 137а, д. к5</x:v>
      </x:c>
      <x:c r="L34" s="36" t="str">
        <x:v>FMC</x:v>
      </x:c>
      <x:c r="M34" s="36" t="str">
        <x:v>Нет</x:v>
      </x:c>
      <x:c r="N34" s="36" t="str">
        <x:v>INSTALL</x:v>
      </x:c>
      <x:c r="O34" s="36" t="n">
        <x:v>45</x:v>
      </x:c>
      <x:c r="P34" s="36" t="str">
        <x:v>NORMAL</x:v>
      </x:c>
      <x:c r="Q34" s="36" t="str">
        <x:v>ANY</x:v>
      </x:c>
      <x:c r="R34" s="36" t="str">
        <x:v>DIAG_SET|INSTALL_SET</x:v>
      </x:c>
      <x:c r="S34" s="49" t="n">
        <x:v>46251.291666666664</x:v>
      </x:c>
      <x:c r="T34" s="37" t="b">
        <x:v>0</x:v>
      </x:c>
      <x:c r="U34" s="36" t="str">
        <x:v>PENDING</x:v>
      </x:c>
      <x:c r="V34" s="36"/>
      <x:c r="W34" s="36"/>
      <x:c r="X34" s="36" t="str">
        <x:v>needs_geocoding</x:v>
      </x:c>
    </x:row>
    <x:row r="35" ht="15" hidden="0" customHeight="1">
      <x:c r="A35" s="36" t="str">
        <x:v>CORE</x:v>
      </x:c>
      <x:c r="B35" s="36" t="str">
        <x:v>EAST-69967</x:v>
      </x:c>
      <x:c r="C35" s="36" t="str">
        <x:v>69967</x:v>
      </x:c>
      <x:c r="D35" s="36" t="str">
        <x:v>EAST</x:v>
      </x:c>
      <x:c r="E35" s="36" t="str">
        <x:v>Восток</x:v>
      </x:c>
      <x:c r="F35" s="36" t="str">
        <x:v>Дозаказ</x:v>
      </x:c>
      <x:c r="G35" s="36" t="str">
        <x:v>Заказ подключения/Дозаказ оборудования</x:v>
      </x:c>
      <x:c r="H35" s="49" t="n">
        <x:v>46251.416666666664</x:v>
      </x:c>
      <x:c r="I35" s="49" t="n">
        <x:v>46251.5</x:v>
      </x:c>
      <x:c r="J35" s="36" t="str">
        <x:v>Лефортово</x:v>
      </x:c>
      <x:c r="K35" s="36" t="str">
        <x:v>Город Москва, ул.Боровая, д. 14</x:v>
      </x:c>
      <x:c r="L35" s="36" t="str">
        <x:v>FTTB</x:v>
      </x:c>
      <x:c r="M35" s="36" t="str">
        <x:v>Да</x:v>
      </x:c>
      <x:c r="N35" s="36" t="str">
        <x:v>INSTALL</x:v>
      </x:c>
      <x:c r="O35" s="36" t="n">
        <x:v>75</x:v>
      </x:c>
      <x:c r="P35" s="36" t="str">
        <x:v>NORMAL</x:v>
      </x:c>
      <x:c r="Q35" s="36" t="str">
        <x:v>CAR</x:v>
      </x:c>
      <x:c r="R35" s="36" t="str">
        <x:v>DIAG_SET|INSTALL_SET|CABLE_PACK|ONT_GIGABIT</x:v>
      </x:c>
      <x:c r="S35" s="49" t="n">
        <x:v>46251.291666666664</x:v>
      </x:c>
      <x:c r="T35" s="37" t="b">
        <x:v>0</x:v>
      </x:c>
      <x:c r="U35" s="36" t="str">
        <x:v>PENDING</x:v>
      </x:c>
      <x:c r="V35" s="36"/>
      <x:c r="W35" s="36"/>
      <x:c r="X35" s="36" t="str">
        <x:v>needs_geocoding</x:v>
      </x:c>
    </x:row>
    <x:row r="36" ht="15" hidden="0" customHeight="1">
      <x:c r="A36" s="36" t="str">
        <x:v>CORE</x:v>
      </x:c>
      <x:c r="B36" s="36" t="str">
        <x:v>EAST-22634</x:v>
      </x:c>
      <x:c r="C36" s="36" t="str">
        <x:v>22634</x:v>
      </x:c>
      <x:c r="D36" s="36" t="str">
        <x:v>EAST</x:v>
      </x:c>
      <x:c r="E36" s="36" t="str">
        <x:v>Восток</x:v>
      </x:c>
      <x:c r="F36" s="36" t="str">
        <x:v>Дозаказ</x:v>
      </x:c>
      <x:c r="G36" s="36" t="str">
        <x:v>Дозаказ оборудования</x:v>
      </x:c>
      <x:c r="H36" s="49" t="n">
        <x:v>46251.583333333336</x:v>
      </x:c>
      <x:c r="I36" s="49" t="n">
        <x:v>46251.666666666664</x:v>
      </x:c>
      <x:c r="J36" s="36" t="str">
        <x:v>Таганский</x:v>
      </x:c>
      <x:c r="K36" s="36" t="str">
        <x:v>Город Москва, ул.Стройковская, д. 8</x:v>
      </x:c>
      <x:c r="L36" s="36" t="str">
        <x:v>FMC</x:v>
      </x:c>
      <x:c r="M36" s="36" t="str">
        <x:v>Нет</x:v>
      </x:c>
      <x:c r="N36" s="36" t="str">
        <x:v>INSTALL</x:v>
      </x:c>
      <x:c r="O36" s="36" t="n">
        <x:v>45</x:v>
      </x:c>
      <x:c r="P36" s="36" t="str">
        <x:v>NORMAL</x:v>
      </x:c>
      <x:c r="Q36" s="36" t="str">
        <x:v>ANY</x:v>
      </x:c>
      <x:c r="R36" s="36" t="str">
        <x:v>DIAG_SET|INSTALL_SET</x:v>
      </x:c>
      <x:c r="S36" s="49" t="n">
        <x:v>46251.291666666664</x:v>
      </x:c>
      <x:c r="T36" s="37" t="b">
        <x:v>0</x:v>
      </x:c>
      <x:c r="U36" s="36" t="str">
        <x:v>PENDING</x:v>
      </x:c>
      <x:c r="V36" s="36"/>
      <x:c r="W36" s="36"/>
      <x:c r="X36" s="36" t="str">
        <x:v>needs_geocoding</x:v>
      </x:c>
    </x:row>
    <x:row r="37" ht="15" hidden="0" customHeight="1">
      <x:c r="A37" s="36" t="str">
        <x:v>CORE</x:v>
      </x:c>
      <x:c r="B37" s="36" t="str">
        <x:v>EAST-98815</x:v>
      </x:c>
      <x:c r="C37" s="36" t="str">
        <x:v>98815</x:v>
      </x:c>
      <x:c r="D37" s="36" t="str">
        <x:v>EAST</x:v>
      </x:c>
      <x:c r="E37" s="36" t="str">
        <x:v>Восток</x:v>
      </x:c>
      <x:c r="F37" s="36" t="str">
        <x:v>Дозаказ</x:v>
      </x:c>
      <x:c r="G37" s="36" t="str">
        <x:v>Дозаказ оборудования</x:v>
      </x:c>
      <x:c r="H37" s="49" t="n">
        <x:v>46251.75</x:v>
      </x:c>
      <x:c r="I37" s="49" t="n">
        <x:v>46251.833333333336</x:v>
      </x:c>
      <x:c r="J37" s="36" t="str">
        <x:v>Лефортово</x:v>
      </x:c>
      <x:c r="K37" s="36" t="str">
        <x:v>Город Москва, ул.2-я Синичкина, д. 9 к 1</x:v>
      </x:c>
      <x:c r="L37" s="36" t="str">
        <x:v>FMC</x:v>
      </x:c>
      <x:c r="M37" s="36" t="str">
        <x:v>Нет</x:v>
      </x:c>
      <x:c r="N37" s="36" t="str">
        <x:v>INSTALL</x:v>
      </x:c>
      <x:c r="O37" s="36" t="n">
        <x:v>45</x:v>
      </x:c>
      <x:c r="P37" s="36" t="str">
        <x:v>NORMAL</x:v>
      </x:c>
      <x:c r="Q37" s="36" t="str">
        <x:v>ANY</x:v>
      </x:c>
      <x:c r="R37" s="36" t="str">
        <x:v>DIAG_SET|INSTALL_SET</x:v>
      </x:c>
      <x:c r="S37" s="49" t="n">
        <x:v>46251.291666666664</x:v>
      </x:c>
      <x:c r="T37" s="37" t="b">
        <x:v>0</x:v>
      </x:c>
      <x:c r="U37" s="36" t="str">
        <x:v>PENDING</x:v>
      </x:c>
      <x:c r="V37" s="36"/>
      <x:c r="W37" s="36"/>
      <x:c r="X37" s="36" t="str">
        <x:v>needs_geocoding</x:v>
      </x:c>
    </x:row>
    <x:row r="38" ht="15" hidden="0" customHeight="1">
      <x:c r="A38" s="36" t="str">
        <x:v>CORE</x:v>
      </x:c>
      <x:c r="B38" s="36" t="str">
        <x:v>EAST-33527</x:v>
      </x:c>
      <x:c r="C38" s="36" t="str">
        <x:v>33527</x:v>
      </x:c>
      <x:c r="D38" s="36" t="str">
        <x:v>EAST</x:v>
      </x:c>
      <x:c r="E38" s="36" t="str">
        <x:v>Восток</x:v>
      </x:c>
      <x:c r="F38" s="36" t="str">
        <x:v>Дозаказ</x:v>
      </x:c>
      <x:c r="G38" s="36" t="str">
        <x:v>Дозаказ оборудования</x:v>
      </x:c>
      <x:c r="H38" s="49" t="n">
        <x:v>46251.416666666664</x:v>
      </x:c>
      <x:c r="I38" s="49" t="n">
        <x:v>46251.5</x:v>
      </x:c>
      <x:c r="J38" s="36" t="str">
        <x:v>Нижегородский</x:v>
      </x:c>
      <x:c r="K38" s="36" t="str">
        <x:v>Москва, проезд Орехово-Зуевский, д. 18/8</x:v>
      </x:c>
      <x:c r="L38" s="36" t="str">
        <x:v>FMC</x:v>
      </x:c>
      <x:c r="M38" s="36" t="str">
        <x:v>Нет</x:v>
      </x:c>
      <x:c r="N38" s="36" t="str">
        <x:v>INSTALL</x:v>
      </x:c>
      <x:c r="O38" s="36" t="n">
        <x:v>45</x:v>
      </x:c>
      <x:c r="P38" s="36" t="str">
        <x:v>NORMAL</x:v>
      </x:c>
      <x:c r="Q38" s="36" t="str">
        <x:v>ANY</x:v>
      </x:c>
      <x:c r="R38" s="36" t="str">
        <x:v>DIAG_SET|INSTALL_SET</x:v>
      </x:c>
      <x:c r="S38" s="49" t="n">
        <x:v>46251.291666666664</x:v>
      </x:c>
      <x:c r="T38" s="37" t="b">
        <x:v>0</x:v>
      </x:c>
      <x:c r="U38" s="36" t="str">
        <x:v>PENDING</x:v>
      </x:c>
      <x:c r="V38" s="36"/>
      <x:c r="W38" s="36"/>
      <x:c r="X38" s="36" t="str">
        <x:v>needs_geocoding</x:v>
      </x:c>
    </x:row>
    <x:row r="39" ht="15" hidden="0" customHeight="1">
      <x:c r="A39" s="36" t="str">
        <x:v>CORE</x:v>
      </x:c>
      <x:c r="B39" s="36" t="str">
        <x:v>EAST-21571</x:v>
      </x:c>
      <x:c r="C39" s="36" t="str">
        <x:v>21571</x:v>
      </x:c>
      <x:c r="D39" s="36" t="str">
        <x:v>EAST</x:v>
      </x:c>
      <x:c r="E39" s="36" t="str">
        <x:v>Восток</x:v>
      </x:c>
      <x:c r="F39" s="36" t="str">
        <x:v>Локальная заявка</x:v>
      </x:c>
      <x:c r="G39" s="36" t="str">
        <x:v>Нет линка</x:v>
      </x:c>
      <x:c r="H39" s="49" t="n">
        <x:v>46251.75</x:v>
      </x:c>
      <x:c r="I39" s="49" t="n">
        <x:v>46251.833333333336</x:v>
      </x:c>
      <x:c r="J39" s="36" t="str">
        <x:v>Таганский</x:v>
      </x:c>
      <x:c r="K39" s="36" t="str">
        <x:v>Город Москва, пер.Большой Рогожский, д. 10 к 2</x:v>
      </x:c>
      <x:c r="L39" s="36" t="str"/>
      <x:c r="M39" s="36" t="str">
        <x:v>Нет</x:v>
      </x:c>
      <x:c r="N39" s="36" t="str">
        <x:v>LOCAL</x:v>
      </x:c>
      <x:c r="O39" s="36" t="n">
        <x:v>45</x:v>
      </x:c>
      <x:c r="P39" s="36" t="str">
        <x:v>NORMAL</x:v>
      </x:c>
      <x:c r="Q39" s="36" t="str">
        <x:v>ANY</x:v>
      </x:c>
      <x:c r="R39" s="36" t="str">
        <x:v>DIAG_SET</x:v>
      </x:c>
      <x:c r="S39" s="49" t="n">
        <x:v>46251.291666666664</x:v>
      </x:c>
      <x:c r="T39" s="37" t="b">
        <x:v>0</x:v>
      </x:c>
      <x:c r="U39" s="36" t="str">
        <x:v>PENDING</x:v>
      </x:c>
      <x:c r="V39" s="36"/>
      <x:c r="W39" s="36"/>
      <x:c r="X39" s="36" t="str">
        <x:v>needs_geocoding</x:v>
      </x:c>
    </x:row>
    <x:row r="40" ht="15" hidden="0" customHeight="1">
      <x:c r="A40" s="36" t="str">
        <x:v>CORE</x:v>
      </x:c>
      <x:c r="B40" s="36" t="str">
        <x:v>EAST-47670</x:v>
      </x:c>
      <x:c r="C40" s="36" t="str">
        <x:v>47670</x:v>
      </x:c>
      <x:c r="D40" s="36" t="str">
        <x:v>EAST</x:v>
      </x:c>
      <x:c r="E40" s="36" t="str">
        <x:v>Восток</x:v>
      </x:c>
      <x:c r="F40" s="36" t="str">
        <x:v>Локальная заявка</x:v>
      </x:c>
      <x:c r="G40" s="36" t="str">
        <x:v>Нет линка</x:v>
      </x:c>
      <x:c r="H40" s="49" t="n">
        <x:v>46251.833333333336</x:v>
      </x:c>
      <x:c r="I40" s="49" t="n">
        <x:v>46251.916666666664</x:v>
      </x:c>
      <x:c r="J40" s="36" t="str">
        <x:v>Басманный</x:v>
      </x:c>
      <x:c r="K40" s="36" t="str">
        <x:v>Город Москва, ул.Машкова, д. 13 стр. 1</x:v>
      </x:c>
      <x:c r="L40" s="36" t="str"/>
      <x:c r="M40" s="36" t="str">
        <x:v>Нет</x:v>
      </x:c>
      <x:c r="N40" s="36" t="str">
        <x:v>LOCAL</x:v>
      </x:c>
      <x:c r="O40" s="36" t="n">
        <x:v>45</x:v>
      </x:c>
      <x:c r="P40" s="36" t="str">
        <x:v>NORMAL</x:v>
      </x:c>
      <x:c r="Q40" s="36" t="str">
        <x:v>ANY</x:v>
      </x:c>
      <x:c r="R40" s="36" t="str">
        <x:v>DIAG_SET</x:v>
      </x:c>
      <x:c r="S40" s="49" t="n">
        <x:v>46251.291666666664</x:v>
      </x:c>
      <x:c r="T40" s="37" t="b">
        <x:v>0</x:v>
      </x:c>
      <x:c r="U40" s="36" t="str">
        <x:v>PENDING</x:v>
      </x:c>
      <x:c r="V40" s="36"/>
      <x:c r="W40" s="36"/>
      <x:c r="X40" s="36" t="str">
        <x:v>needs_geocoding</x:v>
      </x:c>
    </x:row>
    <x:row r="41" ht="15" hidden="0" customHeight="1">
      <x:c r="A41" s="36" t="str">
        <x:v>CORE</x:v>
      </x:c>
      <x:c r="B41" s="36" t="str">
        <x:v>EAST-17892</x:v>
      </x:c>
      <x:c r="C41" s="36" t="str">
        <x:v>17892</x:v>
      </x:c>
      <x:c r="D41" s="36" t="str">
        <x:v>EAST</x:v>
      </x:c>
      <x:c r="E41" s="36" t="str">
        <x:v>Восток</x:v>
      </x:c>
      <x:c r="F41" s="36" t="str">
        <x:v>Локальная заявка</x:v>
      </x:c>
      <x:c r="G41" s="36" t="str">
        <x:v>Переключение на Гбит/с</x:v>
      </x:c>
      <x:c r="H41" s="49" t="n">
        <x:v>46251.75</x:v>
      </x:c>
      <x:c r="I41" s="49" t="n">
        <x:v>46251.833333333336</x:v>
      </x:c>
      <x:c r="J41" s="36" t="str">
        <x:v>Текстильщики</x:v>
      </x:c>
      <x:c r="K41" s="36" t="str">
        <x:v>Город Москва, ул.11-я Текстильщиков, д. 10</x:v>
      </x:c>
      <x:c r="L41" s="36" t="str"/>
      <x:c r="M41" s="36" t="str">
        <x:v>Нет</x:v>
      </x:c>
      <x:c r="N41" s="36" t="str">
        <x:v>LOCAL</x:v>
      </x:c>
      <x:c r="O41" s="36" t="n">
        <x:v>60</x:v>
      </x:c>
      <x:c r="P41" s="36" t="str">
        <x:v>NORMAL</x:v>
      </x:c>
      <x:c r="Q41" s="36" t="str">
        <x:v>ANY</x:v>
      </x:c>
      <x:c r="R41" s="36" t="str">
        <x:v>DIAG_SET|INSTALL_SET</x:v>
      </x:c>
      <x:c r="S41" s="49" t="n">
        <x:v>46251.291666666664</x:v>
      </x:c>
      <x:c r="T41" s="37" t="b">
        <x:v>0</x:v>
      </x:c>
      <x:c r="U41" s="36" t="str">
        <x:v>PENDING</x:v>
      </x:c>
      <x:c r="V41" s="36"/>
      <x:c r="W41" s="36"/>
      <x:c r="X41" s="36" t="str">
        <x:v>needs_geocoding</x:v>
      </x:c>
    </x:row>
    <x:row r="42" ht="15" hidden="0" customHeight="1">
      <x:c r="A42" s="36" t="str">
        <x:v>CORE</x:v>
      </x:c>
      <x:c r="B42" s="36" t="str">
        <x:v>EAST-51115</x:v>
      </x:c>
      <x:c r="C42" s="36" t="str">
        <x:v>51115</x:v>
      </x:c>
      <x:c r="D42" s="36" t="str">
        <x:v>EAST</x:v>
      </x:c>
      <x:c r="E42" s="36" t="str">
        <x:v>Восток</x:v>
      </x:c>
      <x:c r="F42" s="36" t="str">
        <x:v>Локальная заявка</x:v>
      </x:c>
      <x:c r="G42" s="36" t="str">
        <x:v>Нет линка</x:v>
      </x:c>
      <x:c r="H42" s="49" t="n">
        <x:v>46251.75</x:v>
      </x:c>
      <x:c r="I42" s="49" t="n">
        <x:v>46251.833333333336</x:v>
      </x:c>
      <x:c r="J42" s="36" t="str">
        <x:v>Рязанский</x:v>
      </x:c>
      <x:c r="K42" s="36" t="str">
        <x:v>Город Москва, ул.Паперника, д. 18</x:v>
      </x:c>
      <x:c r="L42" s="36" t="str"/>
      <x:c r="M42" s="36" t="str">
        <x:v>Нет</x:v>
      </x:c>
      <x:c r="N42" s="36" t="str">
        <x:v>LOCAL</x:v>
      </x:c>
      <x:c r="O42" s="36" t="n">
        <x:v>45</x:v>
      </x:c>
      <x:c r="P42" s="36" t="str">
        <x:v>NORMAL</x:v>
      </x:c>
      <x:c r="Q42" s="36" t="str">
        <x:v>ANY</x:v>
      </x:c>
      <x:c r="R42" s="36" t="str">
        <x:v>DIAG_SET</x:v>
      </x:c>
      <x:c r="S42" s="49" t="n">
        <x:v>46251.291666666664</x:v>
      </x:c>
      <x:c r="T42" s="37" t="b">
        <x:v>0</x:v>
      </x:c>
      <x:c r="U42" s="36" t="str">
        <x:v>PENDING</x:v>
      </x:c>
      <x:c r="V42" s="36"/>
      <x:c r="W42" s="36"/>
      <x:c r="X42" s="36" t="str">
        <x:v>needs_geocoding</x:v>
      </x:c>
    </x:row>
    <x:row r="43" ht="15" hidden="0" customHeight="1">
      <x:c r="A43" s="36" t="str">
        <x:v>CORE</x:v>
      </x:c>
      <x:c r="B43" s="36" t="str">
        <x:v>EAST-76643</x:v>
      </x:c>
      <x:c r="C43" s="36" t="str">
        <x:v>76643</x:v>
      </x:c>
      <x:c r="D43" s="36" t="str">
        <x:v>EAST</x:v>
      </x:c>
      <x:c r="E43" s="36" t="str">
        <x:v>Восток</x:v>
      </x:c>
      <x:c r="F43" s="36" t="str">
        <x:v>Локальная заявка</x:v>
      </x:c>
      <x:c r="G43" s="36" t="str">
        <x:v>Нет линка</x:v>
      </x:c>
      <x:c r="H43" s="49" t="n">
        <x:v>46251.75</x:v>
      </x:c>
      <x:c r="I43" s="49" t="n">
        <x:v>46251.833333333336</x:v>
      </x:c>
      <x:c r="J43" s="36" t="str">
        <x:v>Таганский</x:v>
      </x:c>
      <x:c r="K43" s="36" t="str">
        <x:v>Город Москва, ул.Большая Калитниковская, д. 38</x:v>
      </x:c>
      <x:c r="L43" s="36" t="str"/>
      <x:c r="M43" s="36" t="str">
        <x:v>Нет</x:v>
      </x:c>
      <x:c r="N43" s="36" t="str">
        <x:v>LOCAL</x:v>
      </x:c>
      <x:c r="O43" s="36" t="n">
        <x:v>45</x:v>
      </x:c>
      <x:c r="P43" s="36" t="str">
        <x:v>NORMAL</x:v>
      </x:c>
      <x:c r="Q43" s="36" t="str">
        <x:v>ANY</x:v>
      </x:c>
      <x:c r="R43" s="36" t="str">
        <x:v>DIAG_SET</x:v>
      </x:c>
      <x:c r="S43" s="49" t="n">
        <x:v>46251.291666666664</x:v>
      </x:c>
      <x:c r="T43" s="37" t="b">
        <x:v>0</x:v>
      </x:c>
      <x:c r="U43" s="36" t="str">
        <x:v>PENDING</x:v>
      </x:c>
      <x:c r="V43" s="36"/>
      <x:c r="W43" s="36"/>
      <x:c r="X43" s="36" t="str">
        <x:v>needs_geocoding</x:v>
      </x:c>
    </x:row>
    <x:row r="44" ht="15" hidden="0" customHeight="1">
      <x:c r="A44" s="36" t="str">
        <x:v>CORE</x:v>
      </x:c>
      <x:c r="B44" s="36" t="str">
        <x:v>EAST-43506</x:v>
      </x:c>
      <x:c r="C44" s="36" t="str">
        <x:v>43506</x:v>
      </x:c>
      <x:c r="D44" s="36" t="str">
        <x:v>EAST</x:v>
      </x:c>
      <x:c r="E44" s="36" t="str">
        <x:v>Восток</x:v>
      </x:c>
      <x:c r="F44" s="36" t="str">
        <x:v>Локальная заявка</x:v>
      </x:c>
      <x:c r="G44" s="36" t="str">
        <x:v>Переключение на Гбит/с</x:v>
      </x:c>
      <x:c r="H44" s="49" t="n">
        <x:v>46251.833333333336</x:v>
      </x:c>
      <x:c r="I44" s="49" t="n">
        <x:v>46251.916666666664</x:v>
      </x:c>
      <x:c r="J44" s="36" t="str">
        <x:v>Выхино</x:v>
      </x:c>
      <x:c r="K44" s="36" t="str">
        <x:v>Город Москва, б-р.Самаркандский Квартал 137а, д. к5</x:v>
      </x:c>
      <x:c r="L44" s="36" t="str"/>
      <x:c r="M44" s="36" t="str">
        <x:v>Нет</x:v>
      </x:c>
      <x:c r="N44" s="36" t="str">
        <x:v>LOCAL</x:v>
      </x:c>
      <x:c r="O44" s="36" t="n">
        <x:v>60</x:v>
      </x:c>
      <x:c r="P44" s="36" t="str">
        <x:v>NORMAL</x:v>
      </x:c>
      <x:c r="Q44" s="36" t="str">
        <x:v>ANY</x:v>
      </x:c>
      <x:c r="R44" s="36" t="str">
        <x:v>DIAG_SET|INSTALL_SET</x:v>
      </x:c>
      <x:c r="S44" s="49" t="n">
        <x:v>46251.291666666664</x:v>
      </x:c>
      <x:c r="T44" s="37" t="b">
        <x:v>0</x:v>
      </x:c>
      <x:c r="U44" s="36" t="str">
        <x:v>PENDING</x:v>
      </x:c>
      <x:c r="V44" s="36"/>
      <x:c r="W44" s="36"/>
      <x:c r="X44" s="36" t="str">
        <x:v>needs_geocoding</x:v>
      </x:c>
    </x:row>
    <x:row r="45" ht="15" hidden="0" customHeight="1">
      <x:c r="A45" s="36" t="str">
        <x:v>CORE</x:v>
      </x:c>
      <x:c r="B45" s="36" t="str">
        <x:v>EAST-48174</x:v>
      </x:c>
      <x:c r="C45" s="36" t="str">
        <x:v>48174</x:v>
      </x:c>
      <x:c r="D45" s="36" t="str">
        <x:v>EAST</x:v>
      </x:c>
      <x:c r="E45" s="36" t="str">
        <x:v>Восток</x:v>
      </x:c>
      <x:c r="F45" s="36" t="str">
        <x:v>Локальная заявка</x:v>
      </x:c>
      <x:c r="G45" s="36" t="str">
        <x:v>Мониторинг</x:v>
      </x:c>
      <x:c r="H45" s="49" t="n">
        <x:v>46251.75</x:v>
      </x:c>
      <x:c r="I45" s="49" t="n">
        <x:v>46251.833333333336</x:v>
      </x:c>
      <x:c r="J45" s="36" t="str">
        <x:v>Кузьминки</x:v>
      </x:c>
      <x:c r="K45" s="36" t="str">
        <x:v>Город Москва, ул.Маршала Чуйкова, д. 9 к 2</x:v>
      </x:c>
      <x:c r="L45" s="36" t="str"/>
      <x:c r="M45" s="36" t="str">
        <x:v>Нет</x:v>
      </x:c>
      <x:c r="N45" s="36" t="str">
        <x:v>LOCAL</x:v>
      </x:c>
      <x:c r="O45" s="36" t="n">
        <x:v>30</x:v>
      </x:c>
      <x:c r="P45" s="36" t="str">
        <x:v>NORMAL</x:v>
      </x:c>
      <x:c r="Q45" s="36" t="str">
        <x:v>ANY</x:v>
      </x:c>
      <x:c r="R45" s="36" t="str">
        <x:v>DIAG_SET</x:v>
      </x:c>
      <x:c r="S45" s="49" t="n">
        <x:v>46251.291666666664</x:v>
      </x:c>
      <x:c r="T45" s="37" t="b">
        <x:v>0</x:v>
      </x:c>
      <x:c r="U45" s="36" t="str">
        <x:v>PENDING</x:v>
      </x:c>
      <x:c r="V45" s="36"/>
      <x:c r="W45" s="36"/>
      <x:c r="X45" s="36" t="str">
        <x:v>needs_geocoding</x:v>
      </x:c>
    </x:row>
    <x:row r="46" ht="15" hidden="0" customHeight="1">
      <x:c r="A46" s="36" t="str">
        <x:v>CORE</x:v>
      </x:c>
      <x:c r="B46" s="36" t="str">
        <x:v>EAST-48227</x:v>
      </x:c>
      <x:c r="C46" s="36" t="str">
        <x:v>48227</x:v>
      </x:c>
      <x:c r="D46" s="36" t="str">
        <x:v>EAST</x:v>
      </x:c>
      <x:c r="E46" s="36" t="str">
        <x:v>Восток</x:v>
      </x:c>
      <x:c r="F46" s="36" t="str">
        <x:v>Локальная заявка</x:v>
      </x:c>
      <x:c r="G46" s="36" t="str">
        <x:v>Нет линка</x:v>
      </x:c>
      <x:c r="H46" s="49" t="n">
        <x:v>46251.5</x:v>
      </x:c>
      <x:c r="I46" s="49" t="n">
        <x:v>46251.583333333336</x:v>
      </x:c>
      <x:c r="J46" s="36" t="str">
        <x:v>Таганский</x:v>
      </x:c>
      <x:c r="K46" s="36" t="str">
        <x:v>Город Москва, ул.Талалихина, д. 16</x:v>
      </x:c>
      <x:c r="L46" s="36" t="str"/>
      <x:c r="M46" s="36" t="str">
        <x:v>Нет</x:v>
      </x:c>
      <x:c r="N46" s="36" t="str">
        <x:v>LOCAL</x:v>
      </x:c>
      <x:c r="O46" s="36" t="n">
        <x:v>45</x:v>
      </x:c>
      <x:c r="P46" s="36" t="str">
        <x:v>NORMAL</x:v>
      </x:c>
      <x:c r="Q46" s="36" t="str">
        <x:v>ANY</x:v>
      </x:c>
      <x:c r="R46" s="36" t="str">
        <x:v>DIAG_SET</x:v>
      </x:c>
      <x:c r="S46" s="49" t="n">
        <x:v>46251.291666666664</x:v>
      </x:c>
      <x:c r="T46" s="37" t="b">
        <x:v>0</x:v>
      </x:c>
      <x:c r="U46" s="36" t="str">
        <x:v>PENDING</x:v>
      </x:c>
      <x:c r="V46" s="36"/>
      <x:c r="W46" s="36"/>
      <x:c r="X46" s="36" t="str">
        <x:v>needs_geocoding</x:v>
      </x:c>
    </x:row>
    <x:row r="47" ht="15" hidden="0" customHeight="1">
      <x:c r="A47" s="36" t="str">
        <x:v>CORE</x:v>
      </x:c>
      <x:c r="B47" s="36" t="str">
        <x:v>EAST-60720</x:v>
      </x:c>
      <x:c r="C47" s="36" t="str">
        <x:v>60720</x:v>
      </x:c>
      <x:c r="D47" s="36" t="str">
        <x:v>EAST</x:v>
      </x:c>
      <x:c r="E47" s="36" t="str">
        <x:v>Восток</x:v>
      </x:c>
      <x:c r="F47" s="36" t="str">
        <x:v>Локальная заявка</x:v>
      </x:c>
      <x:c r="G47" s="36" t="str">
        <x:v>Нет линка</x:v>
      </x:c>
      <x:c r="H47" s="49" t="n">
        <x:v>46251.5</x:v>
      </x:c>
      <x:c r="I47" s="49" t="n">
        <x:v>46251.583333333336</x:v>
      </x:c>
      <x:c r="J47" s="36" t="str">
        <x:v>Текстильщики</x:v>
      </x:c>
      <x:c r="K47" s="36" t="str">
        <x:v>Город Москва, б-р.Волжский, д. 50 к 2</x:v>
      </x:c>
      <x:c r="L47" s="36" t="str"/>
      <x:c r="M47" s="36" t="str">
        <x:v>Нет</x:v>
      </x:c>
      <x:c r="N47" s="36" t="str">
        <x:v>LOCAL</x:v>
      </x:c>
      <x:c r="O47" s="36" t="n">
        <x:v>45</x:v>
      </x:c>
      <x:c r="P47" s="36" t="str">
        <x:v>NORMAL</x:v>
      </x:c>
      <x:c r="Q47" s="36" t="str">
        <x:v>ANY</x:v>
      </x:c>
      <x:c r="R47" s="36" t="str">
        <x:v>DIAG_SET</x:v>
      </x:c>
      <x:c r="S47" s="49" t="n">
        <x:v>46251.291666666664</x:v>
      </x:c>
      <x:c r="T47" s="37" t="b">
        <x:v>0</x:v>
      </x:c>
      <x:c r="U47" s="36" t="str">
        <x:v>PENDING</x:v>
      </x:c>
      <x:c r="V47" s="36"/>
      <x:c r="W47" s="36"/>
      <x:c r="X47" s="36" t="str">
        <x:v>needs_geocoding</x:v>
      </x:c>
    </x:row>
    <x:row r="48" ht="15" hidden="0" customHeight="1">
      <x:c r="A48" s="36" t="str">
        <x:v>CORE</x:v>
      </x:c>
      <x:c r="B48" s="36" t="str">
        <x:v>EAST-48238</x:v>
      </x:c>
      <x:c r="C48" s="36" t="str">
        <x:v>48238</x:v>
      </x:c>
      <x:c r="D48" s="36" t="str">
        <x:v>EAST</x:v>
      </x:c>
      <x:c r="E48" s="36" t="str">
        <x:v>Восток</x:v>
      </x:c>
      <x:c r="F48" s="36" t="str">
        <x:v>Локальная заявка</x:v>
      </x:c>
      <x:c r="G48" s="36" t="str">
        <x:v>Разрывы</x:v>
      </x:c>
      <x:c r="H48" s="49" t="n">
        <x:v>46251.583333333336</x:v>
      </x:c>
      <x:c r="I48" s="49" t="n">
        <x:v>46251.666666666664</x:v>
      </x:c>
      <x:c r="J48" s="36" t="str">
        <x:v>Текстильщики</x:v>
      </x:c>
      <x:c r="K48" s="36" t="str">
        <x:v>Город Москва, ул.Артюхиной, д. 3</x:v>
      </x:c>
      <x:c r="L48" s="36" t="str"/>
      <x:c r="M48" s="36" t="str">
        <x:v>Нет</x:v>
      </x:c>
      <x:c r="N48" s="36" t="str">
        <x:v>LOCAL</x:v>
      </x:c>
      <x:c r="O48" s="36" t="n">
        <x:v>45</x:v>
      </x:c>
      <x:c r="P48" s="36" t="str">
        <x:v>NORMAL</x:v>
      </x:c>
      <x:c r="Q48" s="36" t="str">
        <x:v>ANY</x:v>
      </x:c>
      <x:c r="R48" s="36" t="str">
        <x:v>DIAG_SET</x:v>
      </x:c>
      <x:c r="S48" s="49" t="n">
        <x:v>46251.291666666664</x:v>
      </x:c>
      <x:c r="T48" s="37" t="b">
        <x:v>0</x:v>
      </x:c>
      <x:c r="U48" s="36" t="str">
        <x:v>PENDING</x:v>
      </x:c>
      <x:c r="V48" s="36"/>
      <x:c r="W48" s="36"/>
      <x:c r="X48" s="36" t="str">
        <x:v>needs_geocoding</x:v>
      </x:c>
    </x:row>
    <x:row r="49" ht="15" hidden="0" customHeight="1">
      <x:c r="A49" s="36" t="str">
        <x:v>CORE</x:v>
      </x:c>
      <x:c r="B49" s="36" t="str">
        <x:v>EAST-41912</x:v>
      </x:c>
      <x:c r="C49" s="36" t="str">
        <x:v>41912</x:v>
      </x:c>
      <x:c r="D49" s="36" t="str">
        <x:v>EAST</x:v>
      </x:c>
      <x:c r="E49" s="36" t="str">
        <x:v>Восток</x:v>
      </x:c>
      <x:c r="F49" s="36" t="str">
        <x:v>Локальная заявка</x:v>
      </x:c>
      <x:c r="G49" s="36" t="str">
        <x:v>Нет линка</x:v>
      </x:c>
      <x:c r="H49" s="49" t="n">
        <x:v>46251.5</x:v>
      </x:c>
      <x:c r="I49" s="49" t="n">
        <x:v>46251.583333333336</x:v>
      </x:c>
      <x:c r="J49" s="36" t="str">
        <x:v>Выхино</x:v>
      </x:c>
      <x:c r="K49" s="36" t="str">
        <x:v>Город Москва, проезд.Ферганский, д. 7 к 5</x:v>
      </x:c>
      <x:c r="L49" s="36" t="str"/>
      <x:c r="M49" s="36" t="str">
        <x:v>Нет</x:v>
      </x:c>
      <x:c r="N49" s="36" t="str">
        <x:v>LOCAL</x:v>
      </x:c>
      <x:c r="O49" s="36" t="n">
        <x:v>45</x:v>
      </x:c>
      <x:c r="P49" s="36" t="str">
        <x:v>NORMAL</x:v>
      </x:c>
      <x:c r="Q49" s="36" t="str">
        <x:v>ANY</x:v>
      </x:c>
      <x:c r="R49" s="36" t="str">
        <x:v>DIAG_SET</x:v>
      </x:c>
      <x:c r="S49" s="49" t="n">
        <x:v>46251.291666666664</x:v>
      </x:c>
      <x:c r="T49" s="37" t="b">
        <x:v>0</x:v>
      </x:c>
      <x:c r="U49" s="36" t="str">
        <x:v>PENDING</x:v>
      </x:c>
      <x:c r="V49" s="36"/>
      <x:c r="W49" s="36"/>
      <x:c r="X49" s="36" t="str">
        <x:v>needs_geocoding</x:v>
      </x:c>
    </x:row>
    <x:row r="50" ht="15" hidden="0" customHeight="1">
      <x:c r="A50" s="36" t="str">
        <x:v>CORE</x:v>
      </x:c>
      <x:c r="B50" s="36" t="str">
        <x:v>EAST-4893</x:v>
      </x:c>
      <x:c r="C50" s="36" t="str">
        <x:v>4893</x:v>
      </x:c>
      <x:c r="D50" s="36" t="str">
        <x:v>EAST</x:v>
      </x:c>
      <x:c r="E50" s="36" t="str">
        <x:v>Восток</x:v>
      </x:c>
      <x:c r="F50" s="36" t="str">
        <x:v>Локальная заявка</x:v>
      </x:c>
      <x:c r="G50" s="36" t="str">
        <x:v>Нет линка</x:v>
      </x:c>
      <x:c r="H50" s="49" t="n">
        <x:v>46251.5</x:v>
      </x:c>
      <x:c r="I50" s="49" t="n">
        <x:v>46251.583333333336</x:v>
      </x:c>
      <x:c r="J50" s="36" t="str">
        <x:v>Басманный</x:v>
      </x:c>
      <x:c r="K50" s="36" t="str">
        <x:v>Город Москва, ул.Земляной Вал, д. 24/30 стр. 1</x:v>
      </x:c>
      <x:c r="L50" s="36" t="str"/>
      <x:c r="M50" s="36" t="str">
        <x:v>Нет</x:v>
      </x:c>
      <x:c r="N50" s="36" t="str">
        <x:v>LOCAL</x:v>
      </x:c>
      <x:c r="O50" s="36" t="n">
        <x:v>45</x:v>
      </x:c>
      <x:c r="P50" s="36" t="str">
        <x:v>NORMAL</x:v>
      </x:c>
      <x:c r="Q50" s="36" t="str">
        <x:v>ANY</x:v>
      </x:c>
      <x:c r="R50" s="36" t="str">
        <x:v>DIAG_SET</x:v>
      </x:c>
      <x:c r="S50" s="49" t="n">
        <x:v>46251.291666666664</x:v>
      </x:c>
      <x:c r="T50" s="37" t="b">
        <x:v>0</x:v>
      </x:c>
      <x:c r="U50" s="36" t="str">
        <x:v>PENDING</x:v>
      </x:c>
      <x:c r="V50" s="36"/>
      <x:c r="W50" s="36"/>
      <x:c r="X50" s="36" t="str">
        <x:v>needs_geocoding</x:v>
      </x:c>
    </x:row>
    <x:row r="51" ht="15" hidden="0" customHeight="1">
      <x:c r="A51" s="36" t="str">
        <x:v>CORE</x:v>
      </x:c>
      <x:c r="B51" s="36" t="str">
        <x:v>EAST-68476</x:v>
      </x:c>
      <x:c r="C51" s="36" t="str">
        <x:v>68476</x:v>
      </x:c>
      <x:c r="D51" s="36" t="str">
        <x:v>EAST</x:v>
      </x:c>
      <x:c r="E51" s="36" t="str">
        <x:v>Восток</x:v>
      </x:c>
      <x:c r="F51" s="36" t="str">
        <x:v>Локальная заявка</x:v>
      </x:c>
      <x:c r="G51" s="36" t="str">
        <x:v>Разрывы</x:v>
      </x:c>
      <x:c r="H51" s="49" t="n">
        <x:v>46251.416666666664</x:v>
      </x:c>
      <x:c r="I51" s="49" t="n">
        <x:v>46251.5</x:v>
      </x:c>
      <x:c r="J51" s="36" t="str">
        <x:v>Нижегородский</x:v>
      </x:c>
      <x:c r="K51" s="36" t="str">
        <x:v>Город Москва, ул.3-я Карачаровская, д. 8 к 2</x:v>
      </x:c>
      <x:c r="L51" s="36" t="str"/>
      <x:c r="M51" s="36" t="str">
        <x:v>Нет</x:v>
      </x:c>
      <x:c r="N51" s="36" t="str">
        <x:v>LOCAL</x:v>
      </x:c>
      <x:c r="O51" s="36" t="n">
        <x:v>45</x:v>
      </x:c>
      <x:c r="P51" s="36" t="str">
        <x:v>NORMAL</x:v>
      </x:c>
      <x:c r="Q51" s="36" t="str">
        <x:v>ANY</x:v>
      </x:c>
      <x:c r="R51" s="36" t="str">
        <x:v>DIAG_SET</x:v>
      </x:c>
      <x:c r="S51" s="49" t="n">
        <x:v>46251.291666666664</x:v>
      </x:c>
      <x:c r="T51" s="37" t="b">
        <x:v>0</x:v>
      </x:c>
      <x:c r="U51" s="36" t="str">
        <x:v>PENDING</x:v>
      </x:c>
      <x:c r="V51" s="36"/>
      <x:c r="W51" s="36"/>
      <x:c r="X51" s="36" t="str">
        <x:v>needs_geocoding</x:v>
      </x:c>
    </x:row>
    <x:row r="52" ht="15" hidden="0" customHeight="1">
      <x:c r="A52" s="36" t="str">
        <x:v>CORE</x:v>
      </x:c>
      <x:c r="B52" s="36" t="str">
        <x:v>EAST-50219</x:v>
      </x:c>
      <x:c r="C52" s="36" t="str">
        <x:v>50219</x:v>
      </x:c>
      <x:c r="D52" s="36" t="str">
        <x:v>EAST</x:v>
      </x:c>
      <x:c r="E52" s="36" t="str">
        <x:v>Восток</x:v>
      </x:c>
      <x:c r="F52" s="36" t="str">
        <x:v>Локальная заявка</x:v>
      </x:c>
      <x:c r="G52" s="36" t="str">
        <x:v>Нет линка</x:v>
      </x:c>
      <x:c r="H52" s="49" t="n">
        <x:v>46251.416666666664</x:v>
      </x:c>
      <x:c r="I52" s="49" t="n">
        <x:v>46251.5</x:v>
      </x:c>
      <x:c r="J52" s="36" t="str">
        <x:v>Нижегородский</x:v>
      </x:c>
      <x:c r="K52" s="36" t="str">
        <x:v>Город Москва, ул.Чистопольская, д. 2 к 2</x:v>
      </x:c>
      <x:c r="L52" s="36" t="str"/>
      <x:c r="M52" s="36" t="str">
        <x:v>Нет</x:v>
      </x:c>
      <x:c r="N52" s="36" t="str">
        <x:v>LOCAL</x:v>
      </x:c>
      <x:c r="O52" s="36" t="n">
        <x:v>45</x:v>
      </x:c>
      <x:c r="P52" s="36" t="str">
        <x:v>NORMAL</x:v>
      </x:c>
      <x:c r="Q52" s="36" t="str">
        <x:v>ANY</x:v>
      </x:c>
      <x:c r="R52" s="36" t="str">
        <x:v>DIAG_SET</x:v>
      </x:c>
      <x:c r="S52" s="49" t="n">
        <x:v>46251.291666666664</x:v>
      </x:c>
      <x:c r="T52" s="37" t="b">
        <x:v>0</x:v>
      </x:c>
      <x:c r="U52" s="36" t="str">
        <x:v>PENDING</x:v>
      </x:c>
      <x:c r="V52" s="36"/>
      <x:c r="W52" s="36"/>
      <x:c r="X52" s="36" t="str">
        <x:v>needs_geocoding</x:v>
      </x:c>
    </x:row>
    <x:row r="53" ht="15" hidden="0" customHeight="1">
      <x:c r="A53" s="36" t="str">
        <x:v>CORE</x:v>
      </x:c>
      <x:c r="B53" s="36" t="str">
        <x:v>EAST-76678</x:v>
      </x:c>
      <x:c r="C53" s="36" t="str">
        <x:v>76678</x:v>
      </x:c>
      <x:c r="D53" s="36" t="str">
        <x:v>EAST</x:v>
      </x:c>
      <x:c r="E53" s="36" t="str">
        <x:v>Восток</x:v>
      </x:c>
      <x:c r="F53" s="36" t="str">
        <x:v>Локальная заявка</x:v>
      </x:c>
      <x:c r="G53" s="36" t="str">
        <x:v>Работа с кабелем</x:v>
      </x:c>
      <x:c r="H53" s="49" t="n">
        <x:v>46251.416666666664</x:v>
      </x:c>
      <x:c r="I53" s="49" t="n">
        <x:v>46251.5</x:v>
      </x:c>
      <x:c r="J53" s="36" t="str">
        <x:v>Лефортово</x:v>
      </x:c>
      <x:c r="K53" s="36" t="str">
        <x:v>Город Москва, ул.Боровая, д. 12</x:v>
      </x:c>
      <x:c r="L53" s="36" t="str"/>
      <x:c r="M53" s="36" t="str">
        <x:v>Нет</x:v>
      </x:c>
      <x:c r="N53" s="36" t="str">
        <x:v>LOCAL</x:v>
      </x:c>
      <x:c r="O53" s="36" t="n">
        <x:v>75</x:v>
      </x:c>
      <x:c r="P53" s="36" t="str">
        <x:v>NORMAL</x:v>
      </x:c>
      <x:c r="Q53" s="36" t="str">
        <x:v>ANY</x:v>
      </x:c>
      <x:c r="R53" s="36" t="str">
        <x:v>DIAG_SET|CABLE_SET|CABLE_PACK</x:v>
      </x:c>
      <x:c r="S53" s="49" t="n">
        <x:v>46251.291666666664</x:v>
      </x:c>
      <x:c r="T53" s="37" t="b">
        <x:v>0</x:v>
      </x:c>
      <x:c r="U53" s="36" t="str">
        <x:v>PENDING</x:v>
      </x:c>
      <x:c r="V53" s="36"/>
      <x:c r="W53" s="36"/>
      <x:c r="X53" s="36" t="str">
        <x:v>needs_geocoding</x:v>
      </x:c>
    </x:row>
    <x:row r="54" ht="15" hidden="0" customHeight="1">
      <x:c r="A54" s="36" t="str">
        <x:v>CORE</x:v>
      </x:c>
      <x:c r="B54" s="36" t="str">
        <x:v>EAST-47330</x:v>
      </x:c>
      <x:c r="C54" s="36" t="str">
        <x:v>47330</x:v>
      </x:c>
      <x:c r="D54" s="36" t="str">
        <x:v>EAST</x:v>
      </x:c>
      <x:c r="E54" s="36" t="str">
        <x:v>Восток</x:v>
      </x:c>
      <x:c r="F54" s="36" t="str">
        <x:v>Локальная заявка</x:v>
      </x:c>
      <x:c r="G54" s="36" t="str">
        <x:v>Роутер. Замена техническим специалистом</x:v>
      </x:c>
      <x:c r="H54" s="49" t="n">
        <x:v>46251.583333333336</x:v>
      </x:c>
      <x:c r="I54" s="49" t="n">
        <x:v>46251.666666666664</x:v>
      </x:c>
      <x:c r="J54" s="36" t="str">
        <x:v>Лефортово</x:v>
      </x:c>
      <x:c r="K54" s="36" t="str">
        <x:v>Город Москва, ул.Красноказарменная, д. 9Б стр. 1</x:v>
      </x:c>
      <x:c r="L54" s="36" t="str"/>
      <x:c r="M54" s="36" t="str">
        <x:v>Нет</x:v>
      </x:c>
      <x:c r="N54" s="36" t="str">
        <x:v>LOCAL</x:v>
      </x:c>
      <x:c r="O54" s="36" t="n">
        <x:v>45</x:v>
      </x:c>
      <x:c r="P54" s="36" t="str">
        <x:v>NORMAL</x:v>
      </x:c>
      <x:c r="Q54" s="36" t="str">
        <x:v>ANY</x:v>
      </x:c>
      <x:c r="R54" s="36" t="str">
        <x:v>DIAG_SET|ROUTER</x:v>
      </x:c>
      <x:c r="S54" s="49" t="n">
        <x:v>46251.291666666664</x:v>
      </x:c>
      <x:c r="T54" s="37" t="b">
        <x:v>0</x:v>
      </x:c>
      <x:c r="U54" s="36" t="str">
        <x:v>PENDING</x:v>
      </x:c>
      <x:c r="V54" s="36"/>
      <x:c r="W54" s="36"/>
      <x:c r="X54" s="36" t="str">
        <x:v>needs_geocoding</x:v>
      </x:c>
    </x:row>
    <x:row r="55" ht="15" hidden="0" customHeight="1">
      <x:c r="A55" s="36" t="str">
        <x:v>CORE</x:v>
      </x:c>
      <x:c r="B55" s="36" t="str">
        <x:v>EAST-26645</x:v>
      </x:c>
      <x:c r="C55" s="36" t="str">
        <x:v>26645</x:v>
      </x:c>
      <x:c r="D55" s="36" t="str">
        <x:v>EAST</x:v>
      </x:c>
      <x:c r="E55" s="36" t="str">
        <x:v>Восток</x:v>
      </x:c>
      <x:c r="F55" s="36" t="str">
        <x:v>Локальная заявка</x:v>
      </x:c>
      <x:c r="G55" s="36" t="str">
        <x:v>TVE/ENT. Другие ошибки</x:v>
      </x:c>
      <x:c r="H55" s="49" t="n">
        <x:v>46251.666666666664</x:v>
      </x:c>
      <x:c r="I55" s="49" t="n">
        <x:v>46251.75</x:v>
      </x:c>
      <x:c r="J55" s="36" t="str">
        <x:v>Лефортово</x:v>
      </x:c>
      <x:c r="K55" s="36" t="str">
        <x:v>Город Москва, ул.Сторожевая, д. 31</x:v>
      </x:c>
      <x:c r="L55" s="36" t="str"/>
      <x:c r="M55" s="36" t="str">
        <x:v>Нет</x:v>
      </x:c>
      <x:c r="N55" s="36" t="str">
        <x:v>LOCAL</x:v>
      </x:c>
      <x:c r="O55" s="36" t="n">
        <x:v>40</x:v>
      </x:c>
      <x:c r="P55" s="36" t="str">
        <x:v>NORMAL</x:v>
      </x:c>
      <x:c r="Q55" s="36" t="str">
        <x:v>ANY</x:v>
      </x:c>
      <x:c r="R55" s="36" t="str">
        <x:v>DIAG_SET</x:v>
      </x:c>
      <x:c r="S55" s="49" t="n">
        <x:v>46251.291666666664</x:v>
      </x:c>
      <x:c r="T55" s="37" t="b">
        <x:v>0</x:v>
      </x:c>
      <x:c r="U55" s="36" t="str">
        <x:v>PENDING</x:v>
      </x:c>
      <x:c r="V55" s="36"/>
      <x:c r="W55" s="36"/>
      <x:c r="X55" s="36" t="str">
        <x:v>needs_geocoding</x:v>
      </x:c>
    </x:row>
    <x:row r="56" ht="15" hidden="0" customHeight="1">
      <x:c r="A56" s="36" t="str">
        <x:v>CORE</x:v>
      </x:c>
      <x:c r="B56" s="36" t="str">
        <x:v>EAST-24076</x:v>
      </x:c>
      <x:c r="C56" s="36" t="str">
        <x:v>24076</x:v>
      </x:c>
      <x:c r="D56" s="36" t="str">
        <x:v>EAST</x:v>
      </x:c>
      <x:c r="E56" s="36" t="str">
        <x:v>Восток</x:v>
      </x:c>
      <x:c r="F56" s="36" t="str">
        <x:v>Локальная заявка</x:v>
      </x:c>
      <x:c r="G56" s="36" t="str">
        <x:v>Роутер. Замена техническим специалистом</x:v>
      </x:c>
      <x:c r="H56" s="49" t="n">
        <x:v>46251.5</x:v>
      </x:c>
      <x:c r="I56" s="49" t="n">
        <x:v>46251.583333333336</x:v>
      </x:c>
      <x:c r="J56" s="36" t="str">
        <x:v>Таганский</x:v>
      </x:c>
      <x:c r="K56" s="36" t="str">
        <x:v>Город Москва, ул.Новорогожская, д. 10</x:v>
      </x:c>
      <x:c r="L56" s="36" t="str"/>
      <x:c r="M56" s="36" t="str">
        <x:v>Нет</x:v>
      </x:c>
      <x:c r="N56" s="36" t="str">
        <x:v>LOCAL</x:v>
      </x:c>
      <x:c r="O56" s="36" t="n">
        <x:v>45</x:v>
      </x:c>
      <x:c r="P56" s="36" t="str">
        <x:v>NORMAL</x:v>
      </x:c>
      <x:c r="Q56" s="36" t="str">
        <x:v>ANY</x:v>
      </x:c>
      <x:c r="R56" s="36" t="str">
        <x:v>DIAG_SET|ROUTER</x:v>
      </x:c>
      <x:c r="S56" s="49" t="n">
        <x:v>46251.291666666664</x:v>
      </x:c>
      <x:c r="T56" s="37" t="b">
        <x:v>0</x:v>
      </x:c>
      <x:c r="U56" s="36" t="str">
        <x:v>PENDING</x:v>
      </x:c>
      <x:c r="V56" s="36"/>
      <x:c r="W56" s="36"/>
      <x:c r="X56" s="36" t="str">
        <x:v>needs_geocoding</x:v>
      </x:c>
    </x:row>
    <x:row r="57" ht="15" hidden="0" customHeight="1">
      <x:c r="A57" s="36" t="str">
        <x:v>CORE</x:v>
      </x:c>
      <x:c r="B57" s="36" t="str">
        <x:v>EAST-30243</x:v>
      </x:c>
      <x:c r="C57" s="36" t="str">
        <x:v>30243</x:v>
      </x:c>
      <x:c r="D57" s="36" t="str">
        <x:v>EAST</x:v>
      </x:c>
      <x:c r="E57" s="36" t="str">
        <x:v>Восток</x:v>
      </x:c>
      <x:c r="F57" s="36" t="str">
        <x:v>Локальная заявка</x:v>
      </x:c>
      <x:c r="G57" s="36" t="str">
        <x:v>TVE/ENT. Замена приставки техником</x:v>
      </x:c>
      <x:c r="H57" s="49" t="n">
        <x:v>46251.75</x:v>
      </x:c>
      <x:c r="I57" s="49" t="n">
        <x:v>46251.833333333336</x:v>
      </x:c>
      <x:c r="J57" s="36" t="str">
        <x:v>Таганский</x:v>
      </x:c>
      <x:c r="K57" s="36" t="str">
        <x:v>Город Москва, ул.Нижегородская, д. 25</x:v>
      </x:c>
      <x:c r="L57" s="36" t="str"/>
      <x:c r="M57" s="36" t="str">
        <x:v>Нет</x:v>
      </x:c>
      <x:c r="N57" s="36" t="str">
        <x:v>LOCAL</x:v>
      </x:c>
      <x:c r="O57" s="36" t="n">
        <x:v>45</x:v>
      </x:c>
      <x:c r="P57" s="36" t="str">
        <x:v>NORMAL</x:v>
      </x:c>
      <x:c r="Q57" s="36" t="str">
        <x:v>ANY</x:v>
      </x:c>
      <x:c r="R57" s="36" t="str">
        <x:v>DIAG_SET|TV_BOX</x:v>
      </x:c>
      <x:c r="S57" s="49" t="n">
        <x:v>46251.291666666664</x:v>
      </x:c>
      <x:c r="T57" s="37" t="b">
        <x:v>0</x:v>
      </x:c>
      <x:c r="U57" s="36" t="str">
        <x:v>PENDING</x:v>
      </x:c>
      <x:c r="V57" s="36"/>
      <x:c r="W57" s="36"/>
      <x:c r="X57" s="36" t="str">
        <x:v>needs_geocoding</x:v>
      </x:c>
    </x:row>
    <x:row r="58" ht="15" hidden="0" customHeight="1">
      <x:c r="A58" s="36" t="str">
        <x:v>CORE</x:v>
      </x:c>
      <x:c r="B58" s="36" t="str">
        <x:v>EAST-32807</x:v>
      </x:c>
      <x:c r="C58" s="36" t="str">
        <x:v>32807</x:v>
      </x:c>
      <x:c r="D58" s="36" t="str">
        <x:v>EAST</x:v>
      </x:c>
      <x:c r="E58" s="36" t="str">
        <x:v>Восток</x:v>
      </x:c>
      <x:c r="F58" s="36" t="str">
        <x:v>Локальная заявка</x:v>
      </x:c>
      <x:c r="G58" s="36" t="str">
        <x:v>Работа с кабелем</x:v>
      </x:c>
      <x:c r="H58" s="49" t="n">
        <x:v>46251.416666666664</x:v>
      </x:c>
      <x:c r="I58" s="49" t="n">
        <x:v>46251.5</x:v>
      </x:c>
      <x:c r="J58" s="36" t="str">
        <x:v>Кузьминки</x:v>
      </x:c>
      <x:c r="K58" s="36" t="str">
        <x:v>Город Москва, ул.Окская, д. 6 к 1</x:v>
      </x:c>
      <x:c r="L58" s="36" t="str"/>
      <x:c r="M58" s="36" t="str">
        <x:v>Нет</x:v>
      </x:c>
      <x:c r="N58" s="36" t="str">
        <x:v>LOCAL</x:v>
      </x:c>
      <x:c r="O58" s="36" t="n">
        <x:v>75</x:v>
      </x:c>
      <x:c r="P58" s="36" t="str">
        <x:v>NORMAL</x:v>
      </x:c>
      <x:c r="Q58" s="36" t="str">
        <x:v>ANY</x:v>
      </x:c>
      <x:c r="R58" s="36" t="str">
        <x:v>DIAG_SET|CABLE_SET|CABLE_PACK</x:v>
      </x:c>
      <x:c r="S58" s="49" t="n">
        <x:v>46251.291666666664</x:v>
      </x:c>
      <x:c r="T58" s="37" t="b">
        <x:v>0</x:v>
      </x:c>
      <x:c r="U58" s="36" t="str">
        <x:v>PENDING</x:v>
      </x:c>
      <x:c r="V58" s="36"/>
      <x:c r="W58" s="36"/>
      <x:c r="X58" s="36" t="str">
        <x:v>needs_geocoding</x:v>
      </x:c>
    </x:row>
    <x:row r="59" ht="15" hidden="0" customHeight="1">
      <x:c r="A59" s="36" t="str">
        <x:v>CORE</x:v>
      </x:c>
      <x:c r="B59" s="36" t="str">
        <x:v>EAST-73572</x:v>
      </x:c>
      <x:c r="C59" s="36" t="str">
        <x:v>73572</x:v>
      </x:c>
      <x:c r="D59" s="36" t="str">
        <x:v>EAST</x:v>
      </x:c>
      <x:c r="E59" s="36" t="str">
        <x:v>Восток</x:v>
      </x:c>
      <x:c r="F59" s="36" t="str">
        <x:v>Локальная заявка</x:v>
      </x:c>
      <x:c r="G59" s="36" t="str">
        <x:v>Нет линка</x:v>
      </x:c>
      <x:c r="H59" s="49" t="n">
        <x:v>46251.583333333336</x:v>
      </x:c>
      <x:c r="I59" s="49" t="n">
        <x:v>46251.666666666664</x:v>
      </x:c>
      <x:c r="J59" s="36" t="str">
        <x:v>Кузьминки</x:v>
      </x:c>
      <x:c r="K59" s="36" t="str">
        <x:v>Город Москва, пр-кт.Волгоградский, д. 97 к 1</x:v>
      </x:c>
      <x:c r="L59" s="36" t="str"/>
      <x:c r="M59" s="36" t="str">
        <x:v>Нет</x:v>
      </x:c>
      <x:c r="N59" s="36" t="str">
        <x:v>LOCAL</x:v>
      </x:c>
      <x:c r="O59" s="36" t="n">
        <x:v>45</x:v>
      </x:c>
      <x:c r="P59" s="36" t="str">
        <x:v>NORMAL</x:v>
      </x:c>
      <x:c r="Q59" s="36" t="str">
        <x:v>ANY</x:v>
      </x:c>
      <x:c r="R59" s="36" t="str">
        <x:v>DIAG_SET</x:v>
      </x:c>
      <x:c r="S59" s="49" t="n">
        <x:v>46251.291666666664</x:v>
      </x:c>
      <x:c r="T59" s="37" t="b">
        <x:v>0</x:v>
      </x:c>
      <x:c r="U59" s="36" t="str">
        <x:v>PENDING</x:v>
      </x:c>
      <x:c r="V59" s="36"/>
      <x:c r="W59" s="36"/>
      <x:c r="X59" s="36" t="str">
        <x:v>needs_geocoding</x:v>
      </x:c>
    </x:row>
    <x:row r="60" ht="15" hidden="0" customHeight="1">
      <x:c r="A60" s="36" t="str">
        <x:v>CORE</x:v>
      </x:c>
      <x:c r="B60" s="36" t="str">
        <x:v>EAST-41962</x:v>
      </x:c>
      <x:c r="C60" s="36" t="str">
        <x:v>41962</x:v>
      </x:c>
      <x:c r="D60" s="36" t="str">
        <x:v>EAST</x:v>
      </x:c>
      <x:c r="E60" s="36" t="str">
        <x:v>Восток</x:v>
      </x:c>
      <x:c r="F60" s="36" t="str">
        <x:v>Глобальная проблема</x:v>
      </x:c>
      <x:c r="G60" s="36" t="str">
        <x:v>Информация</x:v>
      </x:c>
      <x:c r="H60" s="49" t="n">
        <x:v>46251.666666666664</x:v>
      </x:c>
      <x:c r="I60" s="49" t="n">
        <x:v>46251.75</x:v>
      </x:c>
      <x:c r="J60" s="36" t="str">
        <x:v>Выхино</x:v>
      </x:c>
      <x:c r="K60" s="36" t="str">
        <x:v>г.Город Москва, б-р.Самаркандский, д. 32к1</x:v>
      </x:c>
      <x:c r="L60" s="36" t="str"/>
      <x:c r="M60" s="36" t="str">
        <x:v>Нет</x:v>
      </x:c>
      <x:c r="N60" s="36" t="str">
        <x:v>EMERGENCY</x:v>
      </x:c>
      <x:c r="O60" s="36" t="n">
        <x:v>20</x:v>
      </x:c>
      <x:c r="P60" s="36" t="str">
        <x:v>NORMAL</x:v>
      </x:c>
      <x:c r="Q60" s="36" t="str">
        <x:v>ANY</x:v>
      </x:c>
      <x:c r="R60" s="36" t="str"/>
      <x:c r="S60" s="49" t="n">
        <x:v>46251.291666666664</x:v>
      </x:c>
      <x:c r="T60" s="37" t="b">
        <x:v>0</x:v>
      </x:c>
      <x:c r="U60" s="36" t="str">
        <x:v>PENDING</x:v>
      </x:c>
      <x:c r="V60" s="36"/>
      <x:c r="W60" s="36"/>
      <x:c r="X60" s="36" t="str">
        <x:v>needs_geocoding</x:v>
      </x:c>
    </x:row>
    <x:row r="61" ht="15" hidden="0" customHeight="1">
      <x:c r="A61" s="36" t="str">
        <x:v>CORE</x:v>
      </x:c>
      <x:c r="B61" s="36" t="str">
        <x:v>EAST-97886</x:v>
      </x:c>
      <x:c r="C61" s="36" t="str">
        <x:v>97886</x:v>
      </x:c>
      <x:c r="D61" s="36" t="str">
        <x:v>EAST</x:v>
      </x:c>
      <x:c r="E61" s="36" t="str">
        <x:v>Восток</x:v>
      </x:c>
      <x:c r="F61" s="36" t="str">
        <x:v>Глобальная проблема</x:v>
      </x:c>
      <x:c r="G61" s="36" t="str">
        <x:v>Информация</x:v>
      </x:c>
      <x:c r="H61" s="49" t="n">
        <x:v>46251.666666666664</x:v>
      </x:c>
      <x:c r="I61" s="49" t="n">
        <x:v>46251.75</x:v>
      </x:c>
      <x:c r="J61" s="36" t="str">
        <x:v>Выхино</x:v>
      </x:c>
      <x:c r="K61" s="36" t="str">
        <x:v>г.Город Москва, б-р.Самаркандский, д. 10к2</x:v>
      </x:c>
      <x:c r="L61" s="36" t="str"/>
      <x:c r="M61" s="36" t="str">
        <x:v>Нет</x:v>
      </x:c>
      <x:c r="N61" s="36" t="str">
        <x:v>EMERGENCY</x:v>
      </x:c>
      <x:c r="O61" s="36" t="n">
        <x:v>20</x:v>
      </x:c>
      <x:c r="P61" s="36" t="str">
        <x:v>NORMAL</x:v>
      </x:c>
      <x:c r="Q61" s="36" t="str">
        <x:v>ANY</x:v>
      </x:c>
      <x:c r="R61" s="36" t="str"/>
      <x:c r="S61" s="49" t="n">
        <x:v>46251.291666666664</x:v>
      </x:c>
      <x:c r="T61" s="37" t="b">
        <x:v>0</x:v>
      </x:c>
      <x:c r="U61" s="36" t="str">
        <x:v>PENDING</x:v>
      </x:c>
      <x:c r="V61" s="36"/>
      <x:c r="W61" s="36"/>
      <x:c r="X61" s="36" t="str">
        <x:v>needs_geocoding</x:v>
      </x:c>
    </x:row>
    <x:row r="62" ht="15" hidden="0" customHeight="1">
      <x:c r="A62" s="36" t="str">
        <x:v>CORE</x:v>
      </x:c>
      <x:c r="B62" s="36" t="str">
        <x:v>EAST-17349</x:v>
      </x:c>
      <x:c r="C62" s="36" t="str">
        <x:v>17349</x:v>
      </x:c>
      <x:c r="D62" s="36" t="str">
        <x:v>EAST</x:v>
      </x:c>
      <x:c r="E62" s="36" t="str">
        <x:v>Восток</x:v>
      </x:c>
      <x:c r="F62" s="36" t="str">
        <x:v>Глобальная проблема</x:v>
      </x:c>
      <x:c r="G62" s="36" t="str">
        <x:v>Информация</x:v>
      </x:c>
      <x:c r="H62" s="49" t="n">
        <x:v>46251.583333333336</x:v>
      </x:c>
      <x:c r="I62" s="49" t="n">
        <x:v>46251.666666666664</x:v>
      </x:c>
      <x:c r="J62" s="36" t="str">
        <x:v>Таганский</x:v>
      </x:c>
      <x:c r="K62" s="36" t="str">
        <x:v>г.Город Москва, ул.Новорогожская, д. 20</x:v>
      </x:c>
      <x:c r="L62" s="36" t="str"/>
      <x:c r="M62" s="36" t="str">
        <x:v>Нет</x:v>
      </x:c>
      <x:c r="N62" s="36" t="str">
        <x:v>EMERGENCY</x:v>
      </x:c>
      <x:c r="O62" s="36" t="n">
        <x:v>20</x:v>
      </x:c>
      <x:c r="P62" s="36" t="str">
        <x:v>NORMAL</x:v>
      </x:c>
      <x:c r="Q62" s="36" t="str">
        <x:v>ANY</x:v>
      </x:c>
      <x:c r="R62" s="36" t="str"/>
      <x:c r="S62" s="49" t="n">
        <x:v>46251.291666666664</x:v>
      </x:c>
      <x:c r="T62" s="37" t="b">
        <x:v>0</x:v>
      </x:c>
      <x:c r="U62" s="36" t="str">
        <x:v>PENDING</x:v>
      </x:c>
      <x:c r="V62" s="36"/>
      <x:c r="W62" s="36"/>
      <x:c r="X62" s="36" t="str">
        <x:v>needs_geocoding</x:v>
      </x:c>
    </x:row>
    <x:row r="63" ht="15" hidden="0" customHeight="1">
      <x:c r="A63" s="36" t="str">
        <x:v>CORE</x:v>
      </x:c>
      <x:c r="B63" s="36" t="str">
        <x:v>EAST-54964</x:v>
      </x:c>
      <x:c r="C63" s="36" t="str">
        <x:v>54964</x:v>
      </x:c>
      <x:c r="D63" s="36" t="str">
        <x:v>EAST</x:v>
      </x:c>
      <x:c r="E63" s="36" t="str">
        <x:v>Восток</x:v>
      </x:c>
      <x:c r="F63" s="36" t="str">
        <x:v>Глобальная проблема</x:v>
      </x:c>
      <x:c r="G63" s="36" t="str">
        <x:v>Информация</x:v>
      </x:c>
      <x:c r="H63" s="49" t="n">
        <x:v>46251.416666666664</x:v>
      </x:c>
      <x:c r="I63" s="49" t="n">
        <x:v>46251.5</x:v>
      </x:c>
      <x:c r="J63" s="36" t="str">
        <x:v>Выхино</x:v>
      </x:c>
      <x:c r="K63" s="36" t="str">
        <x:v>г.Город Москва, ул.Ташкентская, д. 16к2</x:v>
      </x:c>
      <x:c r="L63" s="36" t="str"/>
      <x:c r="M63" s="36" t="str">
        <x:v>Нет</x:v>
      </x:c>
      <x:c r="N63" s="36" t="str">
        <x:v>EMERGENCY</x:v>
      </x:c>
      <x:c r="O63" s="36" t="n">
        <x:v>20</x:v>
      </x:c>
      <x:c r="P63" s="36" t="str">
        <x:v>NORMAL</x:v>
      </x:c>
      <x:c r="Q63" s="36" t="str">
        <x:v>ANY</x:v>
      </x:c>
      <x:c r="R63" s="36" t="str"/>
      <x:c r="S63" s="49" t="n">
        <x:v>46251.291666666664</x:v>
      </x:c>
      <x:c r="T63" s="37" t="b">
        <x:v>0</x:v>
      </x:c>
      <x:c r="U63" s="36" t="str">
        <x:v>PENDING</x:v>
      </x:c>
      <x:c r="V63" s="36"/>
      <x:c r="W63" s="36"/>
      <x:c r="X63" s="36" t="str">
        <x:v>needs_geocoding</x:v>
      </x:c>
    </x:row>
    <x:row r="64" ht="15" hidden="0" customHeight="1">
      <x:c r="A64" s="36" t="str">
        <x:v>CORE</x:v>
      </x:c>
      <x:c r="B64" s="36" t="str">
        <x:v>EAST-21367</x:v>
      </x:c>
      <x:c r="C64" s="36" t="str">
        <x:v>21367</x:v>
      </x:c>
      <x:c r="D64" s="36" t="str">
        <x:v>EAST</x:v>
      </x:c>
      <x:c r="E64" s="36" t="str">
        <x:v>Восток</x:v>
      </x:c>
      <x:c r="F64" s="36" t="str">
        <x:v>Глобальная проблема</x:v>
      </x:c>
      <x:c r="G64" s="36" t="str">
        <x:v>Авария</x:v>
      </x:c>
      <x:c r="H64" s="49" t="n">
        <x:v>46251.833333333336</x:v>
      </x:c>
      <x:c r="I64" s="49" t="n">
        <x:v>46251.916666666664</x:v>
      </x:c>
      <x:c r="J64" s="36" t="str">
        <x:v>Текстильщики</x:v>
      </x:c>
      <x:c r="K64" s="36" t="str">
        <x:v>г.Город Москва, ул.Саратовская, д. 16</x:v>
      </x:c>
      <x:c r="L64" s="36" t="str"/>
      <x:c r="M64" s="36" t="str">
        <x:v>Нет</x:v>
      </x:c>
      <x:c r="N64" s="36" t="str">
        <x:v>EMERGENCY</x:v>
      </x:c>
      <x:c r="O64" s="36" t="n">
        <x:v>90</x:v>
      </x:c>
      <x:c r="P64" s="36" t="str">
        <x:v>URGENT</x:v>
      </x:c>
      <x:c r="Q64" s="36" t="str">
        <x:v>ANY</x:v>
      </x:c>
      <x:c r="R64" s="36" t="str">
        <x:v>DIAG_SET|CABLE_SET|CABLE_PACK</x:v>
      </x:c>
      <x:c r="S64" s="49" t="n">
        <x:v>46251.291666666664</x:v>
      </x:c>
      <x:c r="T64" s="37" t="b">
        <x:v>0</x:v>
      </x:c>
      <x:c r="U64" s="36" t="str">
        <x:v>PENDING</x:v>
      </x:c>
      <x:c r="V64" s="36"/>
      <x:c r="W64" s="36"/>
      <x:c r="X64" s="36" t="str">
        <x:v>needs_geocoding</x:v>
      </x:c>
    </x:row>
    <x:row r="65" ht="15" hidden="0" customHeight="1">
      <x:c r="A65" s="36" t="str">
        <x:v>CORE</x:v>
      </x:c>
      <x:c r="B65" s="36" t="str">
        <x:v>EAST-24980</x:v>
      </x:c>
      <x:c r="C65" s="36" t="str">
        <x:v>24980</x:v>
      </x:c>
      <x:c r="D65" s="36" t="str">
        <x:v>EAST</x:v>
      </x:c>
      <x:c r="E65" s="36" t="str">
        <x:v>Восток</x:v>
      </x:c>
      <x:c r="F65" s="36" t="str">
        <x:v>Глобальная проблема</x:v>
      </x:c>
      <x:c r="G65" s="36" t="str">
        <x:v>Авария</x:v>
      </x:c>
      <x:c r="H65" s="49" t="n">
        <x:v>46251.416666666664</x:v>
      </x:c>
      <x:c r="I65" s="49" t="n">
        <x:v>46251.5</x:v>
      </x:c>
      <x:c r="J65" s="36" t="str">
        <x:v>Басманный</x:v>
      </x:c>
      <x:c r="K65" s="36" t="str">
        <x:v>г.Город Москва, наб.Семеновская, д. 3/1к2</x:v>
      </x:c>
      <x:c r="L65" s="36" t="str"/>
      <x:c r="M65" s="36" t="str">
        <x:v>Нет</x:v>
      </x:c>
      <x:c r="N65" s="36" t="str">
        <x:v>EMERGENCY</x:v>
      </x:c>
      <x:c r="O65" s="36" t="n">
        <x:v>90</x:v>
      </x:c>
      <x:c r="P65" s="36" t="str">
        <x:v>URGENT</x:v>
      </x:c>
      <x:c r="Q65" s="36" t="str">
        <x:v>ANY</x:v>
      </x:c>
      <x:c r="R65" s="36" t="str">
        <x:v>DIAG_SET|CABLE_SET|CABLE_PACK</x:v>
      </x:c>
      <x:c r="S65" s="49" t="n">
        <x:v>46251.291666666664</x:v>
      </x:c>
      <x:c r="T65" s="37" t="b">
        <x:v>0</x:v>
      </x:c>
      <x:c r="U65" s="36" t="str">
        <x:v>PENDING</x:v>
      </x:c>
      <x:c r="V65" s="36"/>
      <x:c r="W65" s="36"/>
      <x:c r="X65" s="36" t="str">
        <x:v>needs_geocoding</x:v>
      </x:c>
    </x:row>
    <x:row r="66" ht="15" hidden="0" customHeight="1">
      <x:c r="A66" s="36" t="str">
        <x:v>CORE</x:v>
      </x:c>
      <x:c r="B66" s="36" t="str">
        <x:v>EAST-15648</x:v>
      </x:c>
      <x:c r="C66" s="36" t="str">
        <x:v>15648</x:v>
      </x:c>
      <x:c r="D66" s="36" t="str">
        <x:v>EAST</x:v>
      </x:c>
      <x:c r="E66" s="36" t="str">
        <x:v>Восток</x:v>
      </x:c>
      <x:c r="F66" s="36" t="str">
        <x:v>Глобальная проблема</x:v>
      </x:c>
      <x:c r="G66" s="36" t="str">
        <x:v>Информация</x:v>
      </x:c>
      <x:c r="H66" s="49" t="n">
        <x:v>46251.666666666664</x:v>
      </x:c>
      <x:c r="I66" s="49" t="n">
        <x:v>46251.75</x:v>
      </x:c>
      <x:c r="J66" s="36" t="str">
        <x:v>Басманный</x:v>
      </x:c>
      <x:c r="K66" s="36" t="str">
        <x:v>г.Город Москва, наб.Семеновская, д. 2/1</x:v>
      </x:c>
      <x:c r="L66" s="36" t="str"/>
      <x:c r="M66" s="36" t="str">
        <x:v>Нет</x:v>
      </x:c>
      <x:c r="N66" s="36" t="str">
        <x:v>EMERGENCY</x:v>
      </x:c>
      <x:c r="O66" s="36" t="n">
        <x:v>20</x:v>
      </x:c>
      <x:c r="P66" s="36" t="str">
        <x:v>NORMAL</x:v>
      </x:c>
      <x:c r="Q66" s="36" t="str">
        <x:v>ANY</x:v>
      </x:c>
      <x:c r="R66" s="36" t="str"/>
      <x:c r="S66" s="49" t="n">
        <x:v>46251.291666666664</x:v>
      </x:c>
      <x:c r="T66" s="37" t="b">
        <x:v>0</x:v>
      </x:c>
      <x:c r="U66" s="36" t="str">
        <x:v>PENDING</x:v>
      </x:c>
      <x:c r="V66" s="36"/>
      <x:c r="W66" s="36"/>
      <x:c r="X66" s="36" t="str">
        <x:v>needs_geocoding</x:v>
      </x:c>
    </x:row>
    <x:row r="67" ht="15" hidden="0" customHeight="1">
      <x:c r="A67" s="36" t="str">
        <x:v>CORE</x:v>
      </x:c>
      <x:c r="B67" s="36" t="str">
        <x:v>EAST-57299</x:v>
      </x:c>
      <x:c r="C67" s="36" t="str">
        <x:v>57299</x:v>
      </x:c>
      <x:c r="D67" s="36" t="str">
        <x:v>EAST</x:v>
      </x:c>
      <x:c r="E67" s="36" t="str">
        <x:v>Восток</x:v>
      </x:c>
      <x:c r="F67" s="36" t="str">
        <x:v>Глобальная проблема</x:v>
      </x:c>
      <x:c r="G67" s="36" t="str">
        <x:v>Авария</x:v>
      </x:c>
      <x:c r="H67" s="49" t="n">
        <x:v>46251.833333333336</x:v>
      </x:c>
      <x:c r="I67" s="49" t="n">
        <x:v>46251.916666666664</x:v>
      </x:c>
      <x:c r="J67" s="36" t="str">
        <x:v>Кузьминки</x:v>
      </x:c>
      <x:c r="K67" s="36" t="str">
        <x:v>г.Город Москва, пр-кт.Волгоградский, д. 128к1</x:v>
      </x:c>
      <x:c r="L67" s="36" t="str"/>
      <x:c r="M67" s="36" t="str">
        <x:v>Нет</x:v>
      </x:c>
      <x:c r="N67" s="36" t="str">
        <x:v>EMERGENCY</x:v>
      </x:c>
      <x:c r="O67" s="36" t="n">
        <x:v>90</x:v>
      </x:c>
      <x:c r="P67" s="36" t="str">
        <x:v>URGENT</x:v>
      </x:c>
      <x:c r="Q67" s="36" t="str">
        <x:v>ANY</x:v>
      </x:c>
      <x:c r="R67" s="36" t="str">
        <x:v>DIAG_SET|CABLE_SET|CABLE_PACK</x:v>
      </x:c>
      <x:c r="S67" s="49" t="n">
        <x:v>46251.291666666664</x:v>
      </x:c>
      <x:c r="T67" s="37" t="b">
        <x:v>0</x:v>
      </x:c>
      <x:c r="U67" s="36" t="str">
        <x:v>PENDING</x:v>
      </x:c>
      <x:c r="V67" s="36"/>
      <x:c r="W67" s="36"/>
      <x:c r="X67" s="36" t="str">
        <x:v>needs_geocoding</x:v>
      </x:c>
    </x:row>
    <x:row r="68" ht="15" hidden="0" customHeight="1">
      <x:c r="A68" s="36" t="str">
        <x:v>CORE</x:v>
      </x:c>
      <x:c r="B68" s="36" t="str">
        <x:v>SOUTHEAST-67472</x:v>
      </x:c>
      <x:c r="C68" s="36" t="str">
        <x:v>67472</x:v>
      </x:c>
      <x:c r="D68" s="36" t="str">
        <x:v>SOUTHEAST</x:v>
      </x:c>
      <x:c r="E68" s="36" t="str">
        <x:v>Юго-восток</x:v>
      </x:c>
      <x:c r="F68" s="36" t="str">
        <x:v>Подключение</x:v>
      </x:c>
      <x:c r="G68" s="36" t="str">
        <x:v>Заказ подключения/Дозаказ оборудования</x:v>
      </x:c>
      <x:c r="H68" s="49" t="n">
        <x:v>46251.666666666664</x:v>
      </x:c>
      <x:c r="I68" s="49" t="n">
        <x:v>46251.75</x:v>
      </x:c>
      <x:c r="J68" s="36" t="str">
        <x:v>Домодедово</x:v>
      </x:c>
      <x:c r="K68" s="36" t="str">
        <x:v>Домодедово, проезд.Советский 1-й, д. 1А</x:v>
      </x:c>
      <x:c r="L68" s="36" t="str"/>
      <x:c r="M68" s="36" t="str">
        <x:v>Нет</x:v>
      </x:c>
      <x:c r="N68" s="36" t="str">
        <x:v>INSTALL</x:v>
      </x:c>
      <x:c r="O68" s="36" t="n">
        <x:v>75</x:v>
      </x:c>
      <x:c r="P68" s="36" t="str">
        <x:v>NORMAL</x:v>
      </x:c>
      <x:c r="Q68" s="36" t="str">
        <x:v>CAR</x:v>
      </x:c>
      <x:c r="R68" s="36" t="str">
        <x:v>DIAG_SET|INSTALL_SET|CABLE_PACK</x:v>
      </x:c>
      <x:c r="S68" s="49" t="n">
        <x:v>46251.291666666664</x:v>
      </x:c>
      <x:c r="T68" s="37" t="b">
        <x:v>0</x:v>
      </x:c>
      <x:c r="U68" s="36" t="str">
        <x:v>PENDING</x:v>
      </x:c>
      <x:c r="V68" s="36"/>
      <x:c r="W68" s="36"/>
      <x:c r="X68" s="36" t="str">
        <x:v>needs_geocoding</x:v>
      </x:c>
    </x:row>
    <x:row r="69" ht="15" hidden="0" customHeight="1">
      <x:c r="A69" s="36" t="str">
        <x:v>CORE</x:v>
      </x:c>
      <x:c r="B69" s="36" t="str">
        <x:v>SOUTHEAST-84466</x:v>
      </x:c>
      <x:c r="C69" s="36" t="str">
        <x:v>84466</x:v>
      </x:c>
      <x:c r="D69" s="36" t="str">
        <x:v>SOUTHEAST</x:v>
      </x:c>
      <x:c r="E69" s="36" t="str">
        <x:v>Юго-восток</x:v>
      </x:c>
      <x:c r="F69" s="36" t="str">
        <x:v>Подключение</x:v>
      </x:c>
      <x:c r="G69" s="36" t="str">
        <x:v>Конвергенция абонента</x:v>
      </x:c>
      <x:c r="H69" s="49" t="n">
        <x:v>46251.75</x:v>
      </x:c>
      <x:c r="I69" s="49" t="n">
        <x:v>46251.833333333336</x:v>
      </x:c>
      <x:c r="J69" s="36" t="str">
        <x:v>Орехово Борисово Южное</x:v>
      </x:c>
      <x:c r="K69" s="36" t="str">
        <x:v>Город Москва, проезд.Гурьевский, д. 23 к 1</x:v>
      </x:c>
      <x:c r="L69" s="36" t="str"/>
      <x:c r="M69" s="36" t="str">
        <x:v>Нет</x:v>
      </x:c>
      <x:c r="N69" s="36" t="str">
        <x:v>INSTALL</x:v>
      </x:c>
      <x:c r="O69" s="36" t="n">
        <x:v>60</x:v>
      </x:c>
      <x:c r="P69" s="36" t="str">
        <x:v>NORMAL</x:v>
      </x:c>
      <x:c r="Q69" s="36" t="str">
        <x:v>ANY</x:v>
      </x:c>
      <x:c r="R69" s="36" t="str">
        <x:v>DIAG_SET|INSTALL_SET|CABLE_PACK</x:v>
      </x:c>
      <x:c r="S69" s="49" t="n">
        <x:v>46251.291666666664</x:v>
      </x:c>
      <x:c r="T69" s="37" t="b">
        <x:v>0</x:v>
      </x:c>
      <x:c r="U69" s="36" t="str">
        <x:v>PENDING</x:v>
      </x:c>
      <x:c r="V69" s="36"/>
      <x:c r="W69" s="36"/>
      <x:c r="X69" s="36" t="str">
        <x:v>needs_geocoding</x:v>
      </x:c>
    </x:row>
    <x:row r="70" ht="15" hidden="0" customHeight="1">
      <x:c r="A70" s="36" t="str">
        <x:v>CORE</x:v>
      </x:c>
      <x:c r="B70" s="36" t="str">
        <x:v>SOUTHEAST-14416</x:v>
      </x:c>
      <x:c r="C70" s="36" t="str">
        <x:v>14416</x:v>
      </x:c>
      <x:c r="D70" s="36" t="str">
        <x:v>SOUTHEAST</x:v>
      </x:c>
      <x:c r="E70" s="36" t="str">
        <x:v>Юго-восток</x:v>
      </x:c>
      <x:c r="F70" s="36" t="str">
        <x:v>Подключение</x:v>
      </x:c>
      <x:c r="G70" s="36" t="str">
        <x:v>Заказ подключения/Дозаказ оборудования</x:v>
      </x:c>
      <x:c r="H70" s="49" t="n">
        <x:v>46251.666666666664</x:v>
      </x:c>
      <x:c r="I70" s="49" t="n">
        <x:v>46251.75</x:v>
      </x:c>
      <x:c r="J70" s="36" t="str">
        <x:v>Зябликово</x:v>
      </x:c>
      <x:c r="K70" s="36" t="str">
        <x:v>Город Москва, ул.Кустанайская, д. 8 к 1</x:v>
      </x:c>
      <x:c r="L70" s="36" t="str"/>
      <x:c r="M70" s="36" t="str">
        <x:v>Нет</x:v>
      </x:c>
      <x:c r="N70" s="36" t="str">
        <x:v>INSTALL</x:v>
      </x:c>
      <x:c r="O70" s="36" t="n">
        <x:v>75</x:v>
      </x:c>
      <x:c r="P70" s="36" t="str">
        <x:v>NORMAL</x:v>
      </x:c>
      <x:c r="Q70" s="36" t="str">
        <x:v>ANY</x:v>
      </x:c>
      <x:c r="R70" s="36" t="str">
        <x:v>DIAG_SET|INSTALL_SET|CABLE_PACK</x:v>
      </x:c>
      <x:c r="S70" s="49" t="n">
        <x:v>46251.291666666664</x:v>
      </x:c>
      <x:c r="T70" s="37" t="b">
        <x:v>0</x:v>
      </x:c>
      <x:c r="U70" s="36" t="str">
        <x:v>PENDING</x:v>
      </x:c>
      <x:c r="V70" s="36"/>
      <x:c r="W70" s="36"/>
      <x:c r="X70" s="36" t="str">
        <x:v>needs_geocoding</x:v>
      </x:c>
    </x:row>
    <x:row r="71" ht="15" hidden="0" customHeight="1">
      <x:c r="A71" s="36" t="str">
        <x:v>CORE</x:v>
      </x:c>
      <x:c r="B71" s="36" t="str">
        <x:v>SOUTHEAST-68359</x:v>
      </x:c>
      <x:c r="C71" s="36" t="str">
        <x:v>68359</x:v>
      </x:c>
      <x:c r="D71" s="36" t="str">
        <x:v>SOUTHEAST</x:v>
      </x:c>
      <x:c r="E71" s="36" t="str">
        <x:v>Юго-восток</x:v>
      </x:c>
      <x:c r="F71" s="36" t="str">
        <x:v>Подключение</x:v>
      </x:c>
      <x:c r="G71" s="36" t="str">
        <x:v>Конвергенция абонента</x:v>
      </x:c>
      <x:c r="H71" s="49" t="n">
        <x:v>46251.666666666664</x:v>
      </x:c>
      <x:c r="I71" s="49" t="n">
        <x:v>46251.75</x:v>
      </x:c>
      <x:c r="J71" s="36" t="str">
        <x:v>Орехово Борисово Южное</x:v>
      </x:c>
      <x:c r="K71" s="36" t="str">
        <x:v>Город Москва, ш.Каширское, д. 136</x:v>
      </x:c>
      <x:c r="L71" s="36" t="str"/>
      <x:c r="M71" s="36" t="str">
        <x:v>Нет</x:v>
      </x:c>
      <x:c r="N71" s="36" t="str">
        <x:v>INSTALL</x:v>
      </x:c>
      <x:c r="O71" s="36" t="n">
        <x:v>60</x:v>
      </x:c>
      <x:c r="P71" s="36" t="str">
        <x:v>NORMAL</x:v>
      </x:c>
      <x:c r="Q71" s="36" t="str">
        <x:v>CAR</x:v>
      </x:c>
      <x:c r="R71" s="36" t="str">
        <x:v>DIAG_SET|INSTALL_SET|CABLE_PACK</x:v>
      </x:c>
      <x:c r="S71" s="49" t="n">
        <x:v>46251.291666666664</x:v>
      </x:c>
      <x:c r="T71" s="37" t="b">
        <x:v>0</x:v>
      </x:c>
      <x:c r="U71" s="36" t="str">
        <x:v>PENDING</x:v>
      </x:c>
      <x:c r="V71" s="36"/>
      <x:c r="W71" s="36"/>
      <x:c r="X71" s="36" t="str">
        <x:v>needs_geocoding</x:v>
      </x:c>
    </x:row>
    <x:row r="72" ht="15" hidden="0" customHeight="1">
      <x:c r="A72" s="36" t="str">
        <x:v>CORE</x:v>
      </x:c>
      <x:c r="B72" s="36" t="str">
        <x:v>SOUTHEAST-66944</x:v>
      </x:c>
      <x:c r="C72" s="36" t="str">
        <x:v>66944</x:v>
      </x:c>
      <x:c r="D72" s="36" t="str">
        <x:v>SOUTHEAST</x:v>
      </x:c>
      <x:c r="E72" s="36" t="str">
        <x:v>Юго-восток</x:v>
      </x:c>
      <x:c r="F72" s="36" t="str">
        <x:v>Подключение</x:v>
      </x:c>
      <x:c r="G72" s="36" t="str">
        <x:v>Конвергенция абонента</x:v>
      </x:c>
      <x:c r="H72" s="49" t="n">
        <x:v>46251.416666666664</x:v>
      </x:c>
      <x:c r="I72" s="49" t="n">
        <x:v>46251.5</x:v>
      </x:c>
      <x:c r="J72" s="36" t="str">
        <x:v>Домодедово</x:v>
      </x:c>
      <x:c r="K72" s="36" t="str">
        <x:v>Домодедово, ул.Зеленая, д. 85</x:v>
      </x:c>
      <x:c r="L72" s="36" t="str"/>
      <x:c r="M72" s="36" t="str">
        <x:v>Нет</x:v>
      </x:c>
      <x:c r="N72" s="36" t="str">
        <x:v>INSTALL</x:v>
      </x:c>
      <x:c r="O72" s="36" t="n">
        <x:v>60</x:v>
      </x:c>
      <x:c r="P72" s="36" t="str">
        <x:v>NORMAL</x:v>
      </x:c>
      <x:c r="Q72" s="36" t="str">
        <x:v>CAR</x:v>
      </x:c>
      <x:c r="R72" s="36" t="str">
        <x:v>DIAG_SET|INSTALL_SET|CABLE_PACK</x:v>
      </x:c>
      <x:c r="S72" s="49" t="n">
        <x:v>46251.291666666664</x:v>
      </x:c>
      <x:c r="T72" s="37" t="b">
        <x:v>0</x:v>
      </x:c>
      <x:c r="U72" s="36" t="str">
        <x:v>PENDING</x:v>
      </x:c>
      <x:c r="V72" s="36"/>
      <x:c r="W72" s="36"/>
      <x:c r="X72" s="36" t="str">
        <x:v>needs_geocoding</x:v>
      </x:c>
    </x:row>
    <x:row r="73" ht="15" hidden="0" customHeight="1">
      <x:c r="A73" s="36" t="str">
        <x:v>CORE</x:v>
      </x:c>
      <x:c r="B73" s="36" t="str">
        <x:v>SOUTHEAST-52041</x:v>
      </x:c>
      <x:c r="C73" s="36" t="str">
        <x:v>52041</x:v>
      </x:c>
      <x:c r="D73" s="36" t="str">
        <x:v>SOUTHEAST</x:v>
      </x:c>
      <x:c r="E73" s="36" t="str">
        <x:v>Юго-восток</x:v>
      </x:c>
      <x:c r="F73" s="36" t="str">
        <x:v>Подключение</x:v>
      </x:c>
      <x:c r="G73" s="36" t="str">
        <x:v>Конвергенция абонента</x:v>
      </x:c>
      <x:c r="H73" s="49" t="n">
        <x:v>46251.5</x:v>
      </x:c>
      <x:c r="I73" s="49" t="n">
        <x:v>46251.583333333336</x:v>
      </x:c>
      <x:c r="J73" s="36" t="str">
        <x:v>Москворечье - Сабурово</x:v>
      </x:c>
      <x:c r="K73" s="36" t="str">
        <x:v>Город Москва, ул.Москворечье, д. 4 к 6</x:v>
      </x:c>
      <x:c r="L73" s="36" t="str"/>
      <x:c r="M73" s="36" t="str">
        <x:v>Нет</x:v>
      </x:c>
      <x:c r="N73" s="36" t="str">
        <x:v>INSTALL</x:v>
      </x:c>
      <x:c r="O73" s="36" t="n">
        <x:v>60</x:v>
      </x:c>
      <x:c r="P73" s="36" t="str">
        <x:v>NORMAL</x:v>
      </x:c>
      <x:c r="Q73" s="36" t="str">
        <x:v>ANY</x:v>
      </x:c>
      <x:c r="R73" s="36" t="str">
        <x:v>DIAG_SET|INSTALL_SET|CABLE_PACK</x:v>
      </x:c>
      <x:c r="S73" s="49" t="n">
        <x:v>46251.291666666664</x:v>
      </x:c>
      <x:c r="T73" s="37" t="b">
        <x:v>0</x:v>
      </x:c>
      <x:c r="U73" s="36" t="str">
        <x:v>PENDING</x:v>
      </x:c>
      <x:c r="V73" s="36"/>
      <x:c r="W73" s="36"/>
      <x:c r="X73" s="36" t="str">
        <x:v>needs_geocoding</x:v>
      </x:c>
    </x:row>
    <x:row r="74" ht="15" hidden="0" customHeight="1">
      <x:c r="A74" s="36" t="str">
        <x:v>CORE</x:v>
      </x:c>
      <x:c r="B74" s="36" t="str">
        <x:v>SOUTHEAST-23807</x:v>
      </x:c>
      <x:c r="C74" s="36" t="str">
        <x:v>23807</x:v>
      </x:c>
      <x:c r="D74" s="36" t="str">
        <x:v>SOUTHEAST</x:v>
      </x:c>
      <x:c r="E74" s="36" t="str">
        <x:v>Юго-восток</x:v>
      </x:c>
      <x:c r="F74" s="36" t="str">
        <x:v>Подключение</x:v>
      </x:c>
      <x:c r="G74" s="36" t="str">
        <x:v>Конвергенция абонента</x:v>
      </x:c>
      <x:c r="H74" s="49" t="n">
        <x:v>46251.416666666664</x:v>
      </x:c>
      <x:c r="I74" s="49" t="n">
        <x:v>46251.5</x:v>
      </x:c>
      <x:c r="J74" s="36" t="str">
        <x:v>Бирюлево Восточное</x:v>
      </x:c>
      <x:c r="K74" s="36" t="str">
        <x:v>Город Москва, проезд.Загорьевский, д. 9</x:v>
      </x:c>
      <x:c r="L74" s="36" t="str"/>
      <x:c r="M74" s="36" t="str">
        <x:v>Нет</x:v>
      </x:c>
      <x:c r="N74" s="36" t="str">
        <x:v>INSTALL</x:v>
      </x:c>
      <x:c r="O74" s="36" t="n">
        <x:v>60</x:v>
      </x:c>
      <x:c r="P74" s="36" t="str">
        <x:v>NORMAL</x:v>
      </x:c>
      <x:c r="Q74" s="36" t="str">
        <x:v>ANY</x:v>
      </x:c>
      <x:c r="R74" s="36" t="str">
        <x:v>DIAG_SET|INSTALL_SET|CABLE_PACK</x:v>
      </x:c>
      <x:c r="S74" s="49" t="n">
        <x:v>46251.291666666664</x:v>
      </x:c>
      <x:c r="T74" s="37" t="b">
        <x:v>0</x:v>
      </x:c>
      <x:c r="U74" s="36" t="str">
        <x:v>PENDING</x:v>
      </x:c>
      <x:c r="V74" s="36"/>
      <x:c r="W74" s="36"/>
      <x:c r="X74" s="36" t="str">
        <x:v>needs_geocoding</x:v>
      </x:c>
    </x:row>
    <x:row r="75" ht="15" hidden="0" customHeight="1">
      <x:c r="A75" s="36" t="str">
        <x:v>CORE</x:v>
      </x:c>
      <x:c r="B75" s="36" t="str">
        <x:v>SOUTHEAST-60484</x:v>
      </x:c>
      <x:c r="C75" s="36" t="str">
        <x:v>60484</x:v>
      </x:c>
      <x:c r="D75" s="36" t="str">
        <x:v>SOUTHEAST</x:v>
      </x:c>
      <x:c r="E75" s="36" t="str">
        <x:v>Юго-восток</x:v>
      </x:c>
      <x:c r="F75" s="36" t="str">
        <x:v>Подключение</x:v>
      </x:c>
      <x:c r="G75" s="36" t="str">
        <x:v>Конвергенция абонента</x:v>
      </x:c>
      <x:c r="H75" s="49" t="n">
        <x:v>46251.583333333336</x:v>
      </x:c>
      <x:c r="I75" s="49" t="n">
        <x:v>46251.666666666664</x:v>
      </x:c>
      <x:c r="J75" s="36" t="str">
        <x:v>Бирюлево Восточное</x:v>
      </x:c>
      <x:c r="K75" s="36" t="str">
        <x:v>Город Москва, ул.6-я Радиальная, д. 5 к 3</x:v>
      </x:c>
      <x:c r="L75" s="36" t="str"/>
      <x:c r="M75" s="36" t="str">
        <x:v>Нет</x:v>
      </x:c>
      <x:c r="N75" s="36" t="str">
        <x:v>INSTALL</x:v>
      </x:c>
      <x:c r="O75" s="36" t="n">
        <x:v>60</x:v>
      </x:c>
      <x:c r="P75" s="36" t="str">
        <x:v>NORMAL</x:v>
      </x:c>
      <x:c r="Q75" s="36" t="str">
        <x:v>ANY</x:v>
      </x:c>
      <x:c r="R75" s="36" t="str">
        <x:v>DIAG_SET|INSTALL_SET|CABLE_PACK</x:v>
      </x:c>
      <x:c r="S75" s="49" t="n">
        <x:v>46251.291666666664</x:v>
      </x:c>
      <x:c r="T75" s="37" t="b">
        <x:v>0</x:v>
      </x:c>
      <x:c r="U75" s="36" t="str">
        <x:v>PENDING</x:v>
      </x:c>
      <x:c r="V75" s="36"/>
      <x:c r="W75" s="36"/>
      <x:c r="X75" s="36" t="str">
        <x:v>needs_geocoding</x:v>
      </x:c>
    </x:row>
    <x:row r="76" ht="15" hidden="0" customHeight="1">
      <x:c r="A76" s="36" t="str">
        <x:v>CORE</x:v>
      </x:c>
      <x:c r="B76" s="36" t="str">
        <x:v>SOUTHEAST-63591</x:v>
      </x:c>
      <x:c r="C76" s="36" t="str">
        <x:v>63591</x:v>
      </x:c>
      <x:c r="D76" s="36" t="str">
        <x:v>SOUTHEAST</x:v>
      </x:c>
      <x:c r="E76" s="36" t="str">
        <x:v>Юго-восток</x:v>
      </x:c>
      <x:c r="F76" s="36" t="str">
        <x:v>Подключение</x:v>
      </x:c>
      <x:c r="G76" s="36" t="str">
        <x:v>Конвергенция абонента</x:v>
      </x:c>
      <x:c r="H76" s="49" t="n">
        <x:v>46251.583333333336</x:v>
      </x:c>
      <x:c r="I76" s="49" t="n">
        <x:v>46251.666666666664</x:v>
      </x:c>
      <x:c r="J76" s="36" t="str">
        <x:v>Бирюлево Восточное</x:v>
      </x:c>
      <x:c r="K76" s="36" t="str">
        <x:v>Город Москва, ул.Бирюлёвская, д. 39</x:v>
      </x:c>
      <x:c r="L76" s="36" t="str"/>
      <x:c r="M76" s="36" t="str">
        <x:v>Нет</x:v>
      </x:c>
      <x:c r="N76" s="36" t="str">
        <x:v>INSTALL</x:v>
      </x:c>
      <x:c r="O76" s="36" t="n">
        <x:v>60</x:v>
      </x:c>
      <x:c r="P76" s="36" t="str">
        <x:v>NORMAL</x:v>
      </x:c>
      <x:c r="Q76" s="36" t="str">
        <x:v>ANY</x:v>
      </x:c>
      <x:c r="R76" s="36" t="str">
        <x:v>DIAG_SET|INSTALL_SET|CABLE_PACK</x:v>
      </x:c>
      <x:c r="S76" s="49" t="n">
        <x:v>46251.291666666664</x:v>
      </x:c>
      <x:c r="T76" s="37" t="b">
        <x:v>0</x:v>
      </x:c>
      <x:c r="U76" s="36" t="str">
        <x:v>PENDING</x:v>
      </x:c>
      <x:c r="V76" s="36"/>
      <x:c r="W76" s="36"/>
      <x:c r="X76" s="36" t="str">
        <x:v>needs_geocoding</x:v>
      </x:c>
    </x:row>
    <x:row r="77" ht="15" hidden="0" customHeight="1">
      <x:c r="A77" s="36" t="str">
        <x:v>CORE</x:v>
      </x:c>
      <x:c r="B77" s="36" t="str">
        <x:v>SOUTHEAST-53552</x:v>
      </x:c>
      <x:c r="C77" s="36" t="str">
        <x:v>53552</x:v>
      </x:c>
      <x:c r="D77" s="36" t="str">
        <x:v>SOUTHEAST</x:v>
      </x:c>
      <x:c r="E77" s="36" t="str">
        <x:v>Юго-восток</x:v>
      </x:c>
      <x:c r="F77" s="36" t="str">
        <x:v>Подключение</x:v>
      </x:c>
      <x:c r="G77" s="36" t="str">
        <x:v>Заказ подключения/Дозаказ оборудования</x:v>
      </x:c>
      <x:c r="H77" s="49" t="n">
        <x:v>46251.583333333336</x:v>
      </x:c>
      <x:c r="I77" s="49" t="n">
        <x:v>46251.666666666664</x:v>
      </x:c>
      <x:c r="J77" s="36" t="str">
        <x:v>Кашира</x:v>
      </x:c>
      <x:c r="K77" s="36" t="str">
        <x:v>Кашира, ул.Победы, д. 9</x:v>
      </x:c>
      <x:c r="L77" s="36" t="str"/>
      <x:c r="M77" s="36" t="str">
        <x:v>Нет</x:v>
      </x:c>
      <x:c r="N77" s="36" t="str">
        <x:v>INSTALL</x:v>
      </x:c>
      <x:c r="O77" s="36" t="n">
        <x:v>75</x:v>
      </x:c>
      <x:c r="P77" s="36" t="str">
        <x:v>NORMAL</x:v>
      </x:c>
      <x:c r="Q77" s="36" t="str">
        <x:v>CAR</x:v>
      </x:c>
      <x:c r="R77" s="36" t="str">
        <x:v>DIAG_SET|INSTALL_SET|CABLE_PACK</x:v>
      </x:c>
      <x:c r="S77" s="49" t="n">
        <x:v>46251.291666666664</x:v>
      </x:c>
      <x:c r="T77" s="37" t="b">
        <x:v>0</x:v>
      </x:c>
      <x:c r="U77" s="36" t="str">
        <x:v>PENDING</x:v>
      </x:c>
      <x:c r="V77" s="36"/>
      <x:c r="W77" s="36"/>
      <x:c r="X77" s="36" t="str">
        <x:v>needs_geocoding</x:v>
      </x:c>
    </x:row>
    <x:row r="78" ht="15" hidden="0" customHeight="1">
      <x:c r="A78" s="36" t="str">
        <x:v>CORE</x:v>
      </x:c>
      <x:c r="B78" s="36" t="str">
        <x:v>SOUTHEAST-58066</x:v>
      </x:c>
      <x:c r="C78" s="36" t="str">
        <x:v>58066</x:v>
      </x:c>
      <x:c r="D78" s="36" t="str">
        <x:v>SOUTHEAST</x:v>
      </x:c>
      <x:c r="E78" s="36" t="str">
        <x:v>Юго-восток</x:v>
      </x:c>
      <x:c r="F78" s="36" t="str">
        <x:v>Подключение</x:v>
      </x:c>
      <x:c r="G78" s="36" t="str">
        <x:v>Конвергенция абонента</x:v>
      </x:c>
      <x:c r="H78" s="49" t="n">
        <x:v>46251.5</x:v>
      </x:c>
      <x:c r="I78" s="49" t="n">
        <x:v>46251.583333333336</x:v>
      </x:c>
      <x:c r="J78" s="36" t="str">
        <x:v>Братеево</x:v>
      </x:c>
      <x:c r="K78" s="36" t="str">
        <x:v>Город Москва, ул.Братеевская, д. 18 к 1</x:v>
      </x:c>
      <x:c r="L78" s="36" t="str"/>
      <x:c r="M78" s="36" t="str">
        <x:v>Нет</x:v>
      </x:c>
      <x:c r="N78" s="36" t="str">
        <x:v>INSTALL</x:v>
      </x:c>
      <x:c r="O78" s="36" t="n">
        <x:v>60</x:v>
      </x:c>
      <x:c r="P78" s="36" t="str">
        <x:v>NORMAL</x:v>
      </x:c>
      <x:c r="Q78" s="36" t="str">
        <x:v>ANY</x:v>
      </x:c>
      <x:c r="R78" s="36" t="str">
        <x:v>DIAG_SET|INSTALL_SET|CABLE_PACK</x:v>
      </x:c>
      <x:c r="S78" s="49" t="n">
        <x:v>46251.291666666664</x:v>
      </x:c>
      <x:c r="T78" s="37" t="b">
        <x:v>0</x:v>
      </x:c>
      <x:c r="U78" s="36" t="str">
        <x:v>PENDING</x:v>
      </x:c>
      <x:c r="V78" s="36"/>
      <x:c r="W78" s="36"/>
      <x:c r="X78" s="36" t="str">
        <x:v>needs_geocoding</x:v>
      </x:c>
    </x:row>
    <x:row r="79" ht="15" hidden="0" customHeight="1">
      <x:c r="A79" s="36" t="str">
        <x:v>CORE</x:v>
      </x:c>
      <x:c r="B79" s="36" t="str">
        <x:v>SOUTHEAST-2915</x:v>
      </x:c>
      <x:c r="C79" s="36" t="str">
        <x:v>2915</x:v>
      </x:c>
      <x:c r="D79" s="36" t="str">
        <x:v>SOUTHEAST</x:v>
      </x:c>
      <x:c r="E79" s="36" t="str">
        <x:v>Юго-восток</x:v>
      </x:c>
      <x:c r="F79" s="36" t="str">
        <x:v>Подключение</x:v>
      </x:c>
      <x:c r="G79" s="36" t="str">
        <x:v>Конвергенция абонента</x:v>
      </x:c>
      <x:c r="H79" s="49" t="n">
        <x:v>46251.5</x:v>
      </x:c>
      <x:c r="I79" s="49" t="n">
        <x:v>46251.583333333336</x:v>
      </x:c>
      <x:c r="J79" s="36" t="str">
        <x:v>Зябликово</x:v>
      </x:c>
      <x:c r="K79" s="36" t="str">
        <x:v>Город Москва, б-р.Ореховый, д. 35 к 1</x:v>
      </x:c>
      <x:c r="L79" s="36" t="str"/>
      <x:c r="M79" s="36" t="str">
        <x:v>Нет</x:v>
      </x:c>
      <x:c r="N79" s="36" t="str">
        <x:v>INSTALL</x:v>
      </x:c>
      <x:c r="O79" s="36" t="n">
        <x:v>60</x:v>
      </x:c>
      <x:c r="P79" s="36" t="str">
        <x:v>NORMAL</x:v>
      </x:c>
      <x:c r="Q79" s="36" t="str">
        <x:v>ANY</x:v>
      </x:c>
      <x:c r="R79" s="36" t="str">
        <x:v>DIAG_SET|INSTALL_SET|CABLE_PACK</x:v>
      </x:c>
      <x:c r="S79" s="49" t="n">
        <x:v>46251.291666666664</x:v>
      </x:c>
      <x:c r="T79" s="37" t="b">
        <x:v>0</x:v>
      </x:c>
      <x:c r="U79" s="36" t="str">
        <x:v>PENDING</x:v>
      </x:c>
      <x:c r="V79" s="36"/>
      <x:c r="W79" s="36"/>
      <x:c r="X79" s="36" t="str">
        <x:v>needs_geocoding</x:v>
      </x:c>
    </x:row>
    <x:row r="80" ht="15" hidden="0" customHeight="1">
      <x:c r="A80" s="36" t="str">
        <x:v>CORE</x:v>
      </x:c>
      <x:c r="B80" s="36" t="str">
        <x:v>SOUTHEAST-3566</x:v>
      </x:c>
      <x:c r="C80" s="36" t="str">
        <x:v>3566</x:v>
      </x:c>
      <x:c r="D80" s="36" t="str">
        <x:v>SOUTHEAST</x:v>
      </x:c>
      <x:c r="E80" s="36" t="str">
        <x:v>Юго-восток</x:v>
      </x:c>
      <x:c r="F80" s="36" t="str">
        <x:v>Подключение</x:v>
      </x:c>
      <x:c r="G80" s="36" t="str">
        <x:v>Конвергенция абонента</x:v>
      </x:c>
      <x:c r="H80" s="49" t="n">
        <x:v>46251.5</x:v>
      </x:c>
      <x:c r="I80" s="49" t="n">
        <x:v>46251.583333333336</x:v>
      </x:c>
      <x:c r="J80" s="36" t="str">
        <x:v>Зябликово</x:v>
      </x:c>
      <x:c r="K80" s="36" t="str">
        <x:v>Город Москва, б-р.Ореховый, д. 35 к 1</x:v>
      </x:c>
      <x:c r="L80" s="36" t="str"/>
      <x:c r="M80" s="36" t="str">
        <x:v>Нет</x:v>
      </x:c>
      <x:c r="N80" s="36" t="str">
        <x:v>INSTALL</x:v>
      </x:c>
      <x:c r="O80" s="36" t="n">
        <x:v>60</x:v>
      </x:c>
      <x:c r="P80" s="36" t="str">
        <x:v>NORMAL</x:v>
      </x:c>
      <x:c r="Q80" s="36" t="str">
        <x:v>ANY</x:v>
      </x:c>
      <x:c r="R80" s="36" t="str">
        <x:v>DIAG_SET|INSTALL_SET|CABLE_PACK</x:v>
      </x:c>
      <x:c r="S80" s="49" t="n">
        <x:v>46251.291666666664</x:v>
      </x:c>
      <x:c r="T80" s="37" t="b">
        <x:v>0</x:v>
      </x:c>
      <x:c r="U80" s="36" t="str">
        <x:v>PENDING</x:v>
      </x:c>
      <x:c r="V80" s="36"/>
      <x:c r="W80" s="36"/>
      <x:c r="X80" s="36" t="str">
        <x:v>needs_geocoding</x:v>
      </x:c>
    </x:row>
    <x:row r="81" ht="15" hidden="0" customHeight="1">
      <x:c r="A81" s="36" t="str">
        <x:v>CORE</x:v>
      </x:c>
      <x:c r="B81" s="36" t="str">
        <x:v>SOUTHEAST-68946</x:v>
      </x:c>
      <x:c r="C81" s="36" t="str">
        <x:v>68946</x:v>
      </x:c>
      <x:c r="D81" s="36" t="str">
        <x:v>SOUTHEAST</x:v>
      </x:c>
      <x:c r="E81" s="36" t="str">
        <x:v>Юго-восток</x:v>
      </x:c>
      <x:c r="F81" s="36" t="str">
        <x:v>Подключение</x:v>
      </x:c>
      <x:c r="G81" s="36" t="str">
        <x:v>Конвергенция абонента</x:v>
      </x:c>
      <x:c r="H81" s="49" t="n">
        <x:v>46251.666666666664</x:v>
      </x:c>
      <x:c r="I81" s="49" t="n">
        <x:v>46251.75</x:v>
      </x:c>
      <x:c r="J81" s="36" t="str">
        <x:v>Царицыно</x:v>
      </x:c>
      <x:c r="K81" s="36" t="str">
        <x:v>Город Москва, пр-кт.Пролетарский, д. 14А</x:v>
      </x:c>
      <x:c r="L81" s="36" t="str"/>
      <x:c r="M81" s="36" t="str">
        <x:v>Нет</x:v>
      </x:c>
      <x:c r="N81" s="36" t="str">
        <x:v>INSTALL</x:v>
      </x:c>
      <x:c r="O81" s="36" t="n">
        <x:v>60</x:v>
      </x:c>
      <x:c r="P81" s="36" t="str">
        <x:v>NORMAL</x:v>
      </x:c>
      <x:c r="Q81" s="36" t="str">
        <x:v>ANY</x:v>
      </x:c>
      <x:c r="R81" s="36" t="str">
        <x:v>DIAG_SET|INSTALL_SET|CABLE_PACK</x:v>
      </x:c>
      <x:c r="S81" s="49" t="n">
        <x:v>46251.291666666664</x:v>
      </x:c>
      <x:c r="T81" s="37" t="b">
        <x:v>0</x:v>
      </x:c>
      <x:c r="U81" s="36" t="str">
        <x:v>PENDING</x:v>
      </x:c>
      <x:c r="V81" s="36"/>
      <x:c r="W81" s="36"/>
      <x:c r="X81" s="36" t="str">
        <x:v>needs_geocoding</x:v>
      </x:c>
    </x:row>
    <x:row r="82" ht="15" hidden="0" customHeight="1">
      <x:c r="A82" s="36" t="str">
        <x:v>CORE</x:v>
      </x:c>
      <x:c r="B82" s="36" t="str">
        <x:v>SOUTHEAST-55454</x:v>
      </x:c>
      <x:c r="C82" s="36" t="str">
        <x:v>55454</x:v>
      </x:c>
      <x:c r="D82" s="36" t="str">
        <x:v>SOUTHEAST</x:v>
      </x:c>
      <x:c r="E82" s="36" t="str">
        <x:v>Юго-восток</x:v>
      </x:c>
      <x:c r="F82" s="36" t="str">
        <x:v>Подключение</x:v>
      </x:c>
      <x:c r="G82" s="36" t="str">
        <x:v>Конвергенция абонента</x:v>
      </x:c>
      <x:c r="H82" s="49" t="n">
        <x:v>46251.5</x:v>
      </x:c>
      <x:c r="I82" s="49" t="n">
        <x:v>46251.583333333336</x:v>
      </x:c>
      <x:c r="J82" s="36" t="str">
        <x:v>Домодедово</x:v>
      </x:c>
      <x:c r="K82" s="36" t="str">
        <x:v>Домодедово, ул.Корнеева, д. 50</x:v>
      </x:c>
      <x:c r="L82" s="36" t="str"/>
      <x:c r="M82" s="36" t="str">
        <x:v>Нет</x:v>
      </x:c>
      <x:c r="N82" s="36" t="str">
        <x:v>INSTALL</x:v>
      </x:c>
      <x:c r="O82" s="36" t="n">
        <x:v>60</x:v>
      </x:c>
      <x:c r="P82" s="36" t="str">
        <x:v>NORMAL</x:v>
      </x:c>
      <x:c r="Q82" s="36" t="str">
        <x:v>CAR</x:v>
      </x:c>
      <x:c r="R82" s="36" t="str">
        <x:v>DIAG_SET|INSTALL_SET|CABLE_PACK</x:v>
      </x:c>
      <x:c r="S82" s="49" t="n">
        <x:v>46251.291666666664</x:v>
      </x:c>
      <x:c r="T82" s="37" t="b">
        <x:v>0</x:v>
      </x:c>
      <x:c r="U82" s="36" t="str">
        <x:v>PENDING</x:v>
      </x:c>
      <x:c r="V82" s="36"/>
      <x:c r="W82" s="36"/>
      <x:c r="X82" s="36" t="str">
        <x:v>needs_geocoding</x:v>
      </x:c>
    </x:row>
    <x:row r="83" ht="15" hidden="0" customHeight="1">
      <x:c r="A83" s="36" t="str">
        <x:v>CORE</x:v>
      </x:c>
      <x:c r="B83" s="36" t="str">
        <x:v>SOUTHEAST-35057</x:v>
      </x:c>
      <x:c r="C83" s="36" t="str">
        <x:v>35057</x:v>
      </x:c>
      <x:c r="D83" s="36" t="str">
        <x:v>SOUTHEAST</x:v>
      </x:c>
      <x:c r="E83" s="36" t="str">
        <x:v>Юго-восток</x:v>
      </x:c>
      <x:c r="F83" s="36" t="str">
        <x:v>Подключение</x:v>
      </x:c>
      <x:c r="G83" s="36" t="str">
        <x:v>Конвергенция абонента</x:v>
      </x:c>
      <x:c r="H83" s="49" t="n">
        <x:v>46251.583333333336</x:v>
      </x:c>
      <x:c r="I83" s="49" t="n">
        <x:v>46251.666666666664</x:v>
      </x:c>
      <x:c r="J83" s="36" t="str">
        <x:v>Домодедово</x:v>
      </x:c>
      <x:c r="K83" s="36" t="str">
        <x:v>Домодедово, ул.Корнеева, д. 40</x:v>
      </x:c>
      <x:c r="L83" s="36" t="str"/>
      <x:c r="M83" s="36" t="str">
        <x:v>Нет</x:v>
      </x:c>
      <x:c r="N83" s="36" t="str">
        <x:v>INSTALL</x:v>
      </x:c>
      <x:c r="O83" s="36" t="n">
        <x:v>60</x:v>
      </x:c>
      <x:c r="P83" s="36" t="str">
        <x:v>NORMAL</x:v>
      </x:c>
      <x:c r="Q83" s="36" t="str">
        <x:v>CAR</x:v>
      </x:c>
      <x:c r="R83" s="36" t="str">
        <x:v>DIAG_SET|INSTALL_SET|CABLE_PACK</x:v>
      </x:c>
      <x:c r="S83" s="49" t="n">
        <x:v>46251.291666666664</x:v>
      </x:c>
      <x:c r="T83" s="37" t="b">
        <x:v>0</x:v>
      </x:c>
      <x:c r="U83" s="36" t="str">
        <x:v>PENDING</x:v>
      </x:c>
      <x:c r="V83" s="36"/>
      <x:c r="W83" s="36"/>
      <x:c r="X83" s="36" t="str">
        <x:v>needs_geocoding</x:v>
      </x:c>
    </x:row>
    <x:row r="84" ht="15" hidden="0" customHeight="1">
      <x:c r="A84" s="36" t="str">
        <x:v>CORE</x:v>
      </x:c>
      <x:c r="B84" s="36" t="str">
        <x:v>SOUTHEAST-75745</x:v>
      </x:c>
      <x:c r="C84" s="36" t="str">
        <x:v>75745</x:v>
      </x:c>
      <x:c r="D84" s="36" t="str">
        <x:v>SOUTHEAST</x:v>
      </x:c>
      <x:c r="E84" s="36" t="str">
        <x:v>Юго-восток</x:v>
      </x:c>
      <x:c r="F84" s="36" t="str">
        <x:v>Подключение</x:v>
      </x:c>
      <x:c r="G84" s="36" t="str">
        <x:v>Заказ подключения/Дозаказ оборудования</x:v>
      </x:c>
      <x:c r="H84" s="49" t="n">
        <x:v>46251.416666666664</x:v>
      </x:c>
      <x:c r="I84" s="49" t="n">
        <x:v>46251.5</x:v>
      </x:c>
      <x:c r="J84" s="36" t="str">
        <x:v>Домодедово</x:v>
      </x:c>
      <x:c r="K84" s="36" t="str">
        <x:v>Домодедово, ул.Зеленая, д. 85</x:v>
      </x:c>
      <x:c r="L84" s="36" t="str"/>
      <x:c r="M84" s="36" t="str">
        <x:v>Нет</x:v>
      </x:c>
      <x:c r="N84" s="36" t="str">
        <x:v>INSTALL</x:v>
      </x:c>
      <x:c r="O84" s="36" t="n">
        <x:v>75</x:v>
      </x:c>
      <x:c r="P84" s="36" t="str">
        <x:v>NORMAL</x:v>
      </x:c>
      <x:c r="Q84" s="36" t="str">
        <x:v>CAR</x:v>
      </x:c>
      <x:c r="R84" s="36" t="str">
        <x:v>DIAG_SET|INSTALL_SET|CABLE_PACK</x:v>
      </x:c>
      <x:c r="S84" s="49" t="n">
        <x:v>46251.291666666664</x:v>
      </x:c>
      <x:c r="T84" s="37" t="b">
        <x:v>0</x:v>
      </x:c>
      <x:c r="U84" s="36" t="str">
        <x:v>PENDING</x:v>
      </x:c>
      <x:c r="V84" s="36"/>
      <x:c r="W84" s="36"/>
      <x:c r="X84" s="36" t="str">
        <x:v>needs_geocoding</x:v>
      </x:c>
    </x:row>
    <x:row r="85" ht="15" hidden="0" customHeight="1">
      <x:c r="A85" s="36" t="str">
        <x:v>CORE</x:v>
      </x:c>
      <x:c r="B85" s="36" t="str">
        <x:v>SOUTHEAST-65717</x:v>
      </x:c>
      <x:c r="C85" s="36" t="str">
        <x:v>65717</x:v>
      </x:c>
      <x:c r="D85" s="36" t="str">
        <x:v>SOUTHEAST</x:v>
      </x:c>
      <x:c r="E85" s="36" t="str">
        <x:v>Юго-восток</x:v>
      </x:c>
      <x:c r="F85" s="36" t="str">
        <x:v>Подключение</x:v>
      </x:c>
      <x:c r="G85" s="36" t="str">
        <x:v>Конвергенция абонента</x:v>
      </x:c>
      <x:c r="H85" s="49" t="n">
        <x:v>46251.416666666664</x:v>
      </x:c>
      <x:c r="I85" s="49" t="n">
        <x:v>46251.5</x:v>
      </x:c>
      <x:c r="J85" s="36" t="str">
        <x:v>Царицыно</x:v>
      </x:c>
      <x:c r="K85" s="36" t="str">
        <x:v>Город Москва, ул.Ереванская, д. 29</x:v>
      </x:c>
      <x:c r="L85" s="36" t="str"/>
      <x:c r="M85" s="36" t="str">
        <x:v>Нет</x:v>
      </x:c>
      <x:c r="N85" s="36" t="str">
        <x:v>INSTALL</x:v>
      </x:c>
      <x:c r="O85" s="36" t="n">
        <x:v>60</x:v>
      </x:c>
      <x:c r="P85" s="36" t="str">
        <x:v>NORMAL</x:v>
      </x:c>
      <x:c r="Q85" s="36" t="str">
        <x:v>ANY</x:v>
      </x:c>
      <x:c r="R85" s="36" t="str">
        <x:v>DIAG_SET|INSTALL_SET|CABLE_PACK</x:v>
      </x:c>
      <x:c r="S85" s="49" t="n">
        <x:v>46251.291666666664</x:v>
      </x:c>
      <x:c r="T85" s="37" t="b">
        <x:v>0</x:v>
      </x:c>
      <x:c r="U85" s="36" t="str">
        <x:v>PENDING</x:v>
      </x:c>
      <x:c r="V85" s="36"/>
      <x:c r="W85" s="36"/>
      <x:c r="X85" s="36" t="str">
        <x:v>needs_geocoding</x:v>
      </x:c>
    </x:row>
    <x:row r="86" ht="15" hidden="0" customHeight="1">
      <x:c r="A86" s="36" t="str">
        <x:v>CORE</x:v>
      </x:c>
      <x:c r="B86" s="36" t="str">
        <x:v>SOUTHEAST-44117</x:v>
      </x:c>
      <x:c r="C86" s="36" t="str">
        <x:v>44117</x:v>
      </x:c>
      <x:c r="D86" s="36" t="str">
        <x:v>SOUTHEAST</x:v>
      </x:c>
      <x:c r="E86" s="36" t="str">
        <x:v>Юго-восток</x:v>
      </x:c>
      <x:c r="F86" s="36" t="str">
        <x:v>Подключение</x:v>
      </x:c>
      <x:c r="G86" s="36" t="str">
        <x:v>Конвергенция абонента</x:v>
      </x:c>
      <x:c r="H86" s="49" t="n">
        <x:v>46251.416666666664</x:v>
      </x:c>
      <x:c r="I86" s="49" t="n">
        <x:v>46251.5</x:v>
      </x:c>
      <x:c r="J86" s="36" t="str">
        <x:v>Царицыно</x:v>
      </x:c>
      <x:c r="K86" s="36" t="str">
        <x:v>Город Москва, ул.Севанская, д. 15 к 1</x:v>
      </x:c>
      <x:c r="L86" s="36" t="str"/>
      <x:c r="M86" s="36" t="str">
        <x:v>Нет</x:v>
      </x:c>
      <x:c r="N86" s="36" t="str">
        <x:v>INSTALL</x:v>
      </x:c>
      <x:c r="O86" s="36" t="n">
        <x:v>60</x:v>
      </x:c>
      <x:c r="P86" s="36" t="str">
        <x:v>NORMAL</x:v>
      </x:c>
      <x:c r="Q86" s="36" t="str">
        <x:v>ANY</x:v>
      </x:c>
      <x:c r="R86" s="36" t="str">
        <x:v>DIAG_SET|INSTALL_SET|CABLE_PACK</x:v>
      </x:c>
      <x:c r="S86" s="49" t="n">
        <x:v>46251.291666666664</x:v>
      </x:c>
      <x:c r="T86" s="37" t="b">
        <x:v>0</x:v>
      </x:c>
      <x:c r="U86" s="36" t="str">
        <x:v>PENDING</x:v>
      </x:c>
      <x:c r="V86" s="36"/>
      <x:c r="W86" s="36"/>
      <x:c r="X86" s="36" t="str">
        <x:v>needs_geocoding</x:v>
      </x:c>
    </x:row>
    <x:row r="87" ht="15" hidden="0" customHeight="1">
      <x:c r="A87" s="36" t="str">
        <x:v>CORE</x:v>
      </x:c>
      <x:c r="B87" s="36" t="str">
        <x:v>SOUTHEAST-76173</x:v>
      </x:c>
      <x:c r="C87" s="36" t="str">
        <x:v>76173</x:v>
      </x:c>
      <x:c r="D87" s="36" t="str">
        <x:v>SOUTHEAST</x:v>
      </x:c>
      <x:c r="E87" s="36" t="str">
        <x:v>Юго-восток</x:v>
      </x:c>
      <x:c r="F87" s="36" t="str">
        <x:v>Подключение</x:v>
      </x:c>
      <x:c r="G87" s="36" t="str">
        <x:v>Конвергенция абонента</x:v>
      </x:c>
      <x:c r="H87" s="49" t="n">
        <x:v>46251.666666666664</x:v>
      </x:c>
      <x:c r="I87" s="49" t="n">
        <x:v>46251.75</x:v>
      </x:c>
      <x:c r="J87" s="36" t="str">
        <x:v>Бирюлево Восточное</x:v>
      </x:c>
      <x:c r="K87" s="36" t="str">
        <x:v>Город Москва, ул.6-я Радиальная, д. 7/1 к 2</x:v>
      </x:c>
      <x:c r="L87" s="36" t="str"/>
      <x:c r="M87" s="36" t="str">
        <x:v>Нет</x:v>
      </x:c>
      <x:c r="N87" s="36" t="str">
        <x:v>INSTALL</x:v>
      </x:c>
      <x:c r="O87" s="36" t="n">
        <x:v>60</x:v>
      </x:c>
      <x:c r="P87" s="36" t="str">
        <x:v>NORMAL</x:v>
      </x:c>
      <x:c r="Q87" s="36" t="str">
        <x:v>ANY</x:v>
      </x:c>
      <x:c r="R87" s="36" t="str">
        <x:v>DIAG_SET|INSTALL_SET|CABLE_PACK</x:v>
      </x:c>
      <x:c r="S87" s="49" t="n">
        <x:v>46251.291666666664</x:v>
      </x:c>
      <x:c r="T87" s="37" t="b">
        <x:v>0</x:v>
      </x:c>
      <x:c r="U87" s="36" t="str">
        <x:v>PENDING</x:v>
      </x:c>
      <x:c r="V87" s="36"/>
      <x:c r="W87" s="36"/>
      <x:c r="X87" s="36" t="str">
        <x:v>needs_geocoding</x:v>
      </x:c>
    </x:row>
    <x:row r="88" ht="15" hidden="0" customHeight="1">
      <x:c r="A88" s="36" t="str">
        <x:v>CORE</x:v>
      </x:c>
      <x:c r="B88" s="36" t="str">
        <x:v>SOUTHEAST-876</x:v>
      </x:c>
      <x:c r="C88" s="36" t="str">
        <x:v>876</x:v>
      </x:c>
      <x:c r="D88" s="36" t="str">
        <x:v>SOUTHEAST</x:v>
      </x:c>
      <x:c r="E88" s="36" t="str">
        <x:v>Юго-восток</x:v>
      </x:c>
      <x:c r="F88" s="36" t="str">
        <x:v>Подключение</x:v>
      </x:c>
      <x:c r="G88" s="36" t="str">
        <x:v>Заказ подключения/Дозаказ оборудования</x:v>
      </x:c>
      <x:c r="H88" s="49" t="n">
        <x:v>46251.416666666664</x:v>
      </x:c>
      <x:c r="I88" s="49" t="n">
        <x:v>46251.5</x:v>
      </x:c>
      <x:c r="J88" s="36" t="str">
        <x:v>Бирюлево Восточное</x:v>
      </x:c>
      <x:c r="K88" s="36" t="str">
        <x:v>Город Москва, проезд.Загорьевский, д. 9</x:v>
      </x:c>
      <x:c r="L88" s="36" t="str"/>
      <x:c r="M88" s="36" t="str">
        <x:v>Нет</x:v>
      </x:c>
      <x:c r="N88" s="36" t="str">
        <x:v>INSTALL</x:v>
      </x:c>
      <x:c r="O88" s="36" t="n">
        <x:v>75</x:v>
      </x:c>
      <x:c r="P88" s="36" t="str">
        <x:v>NORMAL</x:v>
      </x:c>
      <x:c r="Q88" s="36" t="str">
        <x:v>ANY</x:v>
      </x:c>
      <x:c r="R88" s="36" t="str">
        <x:v>DIAG_SET|INSTALL_SET|CABLE_PACK</x:v>
      </x:c>
      <x:c r="S88" s="49" t="n">
        <x:v>46251.291666666664</x:v>
      </x:c>
      <x:c r="T88" s="37" t="b">
        <x:v>0</x:v>
      </x:c>
      <x:c r="U88" s="36" t="str">
        <x:v>PENDING</x:v>
      </x:c>
      <x:c r="V88" s="36"/>
      <x:c r="W88" s="36"/>
      <x:c r="X88" s="36" t="str">
        <x:v>needs_geocoding</x:v>
      </x:c>
    </x:row>
    <x:row r="89" ht="15" hidden="0" customHeight="1">
      <x:c r="A89" s="36" t="str">
        <x:v>CORE</x:v>
      </x:c>
      <x:c r="B89" s="36" t="str">
        <x:v>SOUTHEAST-62011</x:v>
      </x:c>
      <x:c r="C89" s="36" t="str">
        <x:v>62011</x:v>
      </x:c>
      <x:c r="D89" s="36" t="str">
        <x:v>SOUTHEAST</x:v>
      </x:c>
      <x:c r="E89" s="36" t="str">
        <x:v>Юго-восток</x:v>
      </x:c>
      <x:c r="F89" s="36" t="str">
        <x:v>Подключение</x:v>
      </x:c>
      <x:c r="G89" s="36" t="str">
        <x:v>Конвергенция абонента</x:v>
      </x:c>
      <x:c r="H89" s="49" t="n">
        <x:v>46251.416666666664</x:v>
      </x:c>
      <x:c r="I89" s="49" t="n">
        <x:v>46251.5</x:v>
      </x:c>
      <x:c r="J89" s="36" t="str">
        <x:v>Кашира</x:v>
      </x:c>
      <x:c r="K89" s="36" t="str">
        <x:v>Кашира, ул.Садовая, д. 18</x:v>
      </x:c>
      <x:c r="L89" s="36" t="str"/>
      <x:c r="M89" s="36" t="str">
        <x:v>Нет</x:v>
      </x:c>
      <x:c r="N89" s="36" t="str">
        <x:v>INSTALL</x:v>
      </x:c>
      <x:c r="O89" s="36" t="n">
        <x:v>60</x:v>
      </x:c>
      <x:c r="P89" s="36" t="str">
        <x:v>NORMAL</x:v>
      </x:c>
      <x:c r="Q89" s="36" t="str">
        <x:v>CAR</x:v>
      </x:c>
      <x:c r="R89" s="36" t="str">
        <x:v>DIAG_SET|INSTALL_SET|CABLE_PACK</x:v>
      </x:c>
      <x:c r="S89" s="49" t="n">
        <x:v>46251.291666666664</x:v>
      </x:c>
      <x:c r="T89" s="37" t="b">
        <x:v>0</x:v>
      </x:c>
      <x:c r="U89" s="36" t="str">
        <x:v>PENDING</x:v>
      </x:c>
      <x:c r="V89" s="36"/>
      <x:c r="W89" s="36"/>
      <x:c r="X89" s="36" t="str">
        <x:v>needs_geocoding</x:v>
      </x:c>
    </x:row>
    <x:row r="90" ht="15" hidden="0" customHeight="1">
      <x:c r="A90" s="36" t="str">
        <x:v>CORE</x:v>
      </x:c>
      <x:c r="B90" s="36" t="str">
        <x:v>SOUTHEAST-57353</x:v>
      </x:c>
      <x:c r="C90" s="36" t="str">
        <x:v>57353</x:v>
      </x:c>
      <x:c r="D90" s="36" t="str">
        <x:v>SOUTHEAST</x:v>
      </x:c>
      <x:c r="E90" s="36" t="str">
        <x:v>Юго-восток</x:v>
      </x:c>
      <x:c r="F90" s="36" t="str">
        <x:v>Подключение</x:v>
      </x:c>
      <x:c r="G90" s="36" t="str">
        <x:v>Заказ подключения/Дозаказ оборудования</x:v>
      </x:c>
      <x:c r="H90" s="49" t="n">
        <x:v>46251.5</x:v>
      </x:c>
      <x:c r="I90" s="49" t="n">
        <x:v>46251.583333333336</x:v>
      </x:c>
      <x:c r="J90" s="36" t="str">
        <x:v>Кашира</x:v>
      </x:c>
      <x:c r="K90" s="36" t="str">
        <x:v>Кашира, ул.Садовая, д. 2/11</x:v>
      </x:c>
      <x:c r="L90" s="36" t="str"/>
      <x:c r="M90" s="36" t="str">
        <x:v>Нет</x:v>
      </x:c>
      <x:c r="N90" s="36" t="str">
        <x:v>INSTALL</x:v>
      </x:c>
      <x:c r="O90" s="36" t="n">
        <x:v>75</x:v>
      </x:c>
      <x:c r="P90" s="36" t="str">
        <x:v>NORMAL</x:v>
      </x:c>
      <x:c r="Q90" s="36" t="str">
        <x:v>CAR</x:v>
      </x:c>
      <x:c r="R90" s="36" t="str">
        <x:v>DIAG_SET|INSTALL_SET|CABLE_PACK</x:v>
      </x:c>
      <x:c r="S90" s="49" t="n">
        <x:v>46251.291666666664</x:v>
      </x:c>
      <x:c r="T90" s="37" t="b">
        <x:v>0</x:v>
      </x:c>
      <x:c r="U90" s="36" t="str">
        <x:v>PENDING</x:v>
      </x:c>
      <x:c r="V90" s="36"/>
      <x:c r="W90" s="36"/>
      <x:c r="X90" s="36" t="str">
        <x:v>needs_geocoding</x:v>
      </x:c>
    </x:row>
    <x:row r="91" ht="15" hidden="0" customHeight="1">
      <x:c r="A91" s="36" t="str">
        <x:v>CORE</x:v>
      </x:c>
      <x:c r="B91" s="36" t="str">
        <x:v>SOUTHEAST-2245</x:v>
      </x:c>
      <x:c r="C91" s="36" t="str">
        <x:v>2245</x:v>
      </x:c>
      <x:c r="D91" s="36" t="str">
        <x:v>SOUTHEAST</x:v>
      </x:c>
      <x:c r="E91" s="36" t="str">
        <x:v>Юго-восток</x:v>
      </x:c>
      <x:c r="F91" s="36" t="str">
        <x:v>Подключение</x:v>
      </x:c>
      <x:c r="G91" s="36" t="str">
        <x:v>Заявка на подключение</x:v>
      </x:c>
      <x:c r="H91" s="49" t="n">
        <x:v>46251.583333333336</x:v>
      </x:c>
      <x:c r="I91" s="49" t="n">
        <x:v>46251.666666666664</x:v>
      </x:c>
      <x:c r="J91" s="36" t="str">
        <x:v>Братеево</x:v>
      </x:c>
      <x:c r="K91" s="36" t="str">
        <x:v>Город Москва, ул.Паромная, д. 9 к 1</x:v>
      </x:c>
      <x:c r="L91" s="36" t="str"/>
      <x:c r="M91" s="36" t="str">
        <x:v>Нет</x:v>
      </x:c>
      <x:c r="N91" s="36" t="str">
        <x:v>INSTALL</x:v>
      </x:c>
      <x:c r="O91" s="36" t="n">
        <x:v>90</x:v>
      </x:c>
      <x:c r="P91" s="36" t="str">
        <x:v>NORMAL</x:v>
      </x:c>
      <x:c r="Q91" s="36" t="str">
        <x:v>ANY</x:v>
      </x:c>
      <x:c r="R91" s="36" t="str">
        <x:v>DIAG_SET|INSTALL_SET|CABLE_PACK</x:v>
      </x:c>
      <x:c r="S91" s="49" t="n">
        <x:v>46251.291666666664</x:v>
      </x:c>
      <x:c r="T91" s="37" t="b">
        <x:v>0</x:v>
      </x:c>
      <x:c r="U91" s="36" t="str">
        <x:v>PENDING</x:v>
      </x:c>
      <x:c r="V91" s="36"/>
      <x:c r="W91" s="36"/>
      <x:c r="X91" s="36" t="str">
        <x:v>needs_geocoding</x:v>
      </x:c>
    </x:row>
    <x:row r="92" ht="15" hidden="0" customHeight="1">
      <x:c r="A92" s="36" t="str">
        <x:v>CORE</x:v>
      </x:c>
      <x:c r="B92" s="36" t="str">
        <x:v>SOUTHEAST-14494</x:v>
      </x:c>
      <x:c r="C92" s="36" t="str">
        <x:v>14494</x:v>
      </x:c>
      <x:c r="D92" s="36" t="str">
        <x:v>SOUTHEAST</x:v>
      </x:c>
      <x:c r="E92" s="36" t="str">
        <x:v>Юго-восток</x:v>
      </x:c>
      <x:c r="F92" s="36" t="str">
        <x:v>Подключение</x:v>
      </x:c>
      <x:c r="G92" s="36" t="str">
        <x:v>Конвергенция абонента</x:v>
      </x:c>
      <x:c r="H92" s="49" t="n">
        <x:v>46251.416666666664</x:v>
      </x:c>
      <x:c r="I92" s="49" t="n">
        <x:v>46251.5</x:v>
      </x:c>
      <x:c r="J92" s="36" t="str">
        <x:v>Братеево</x:v>
      </x:c>
      <x:c r="K92" s="36" t="str">
        <x:v>Город Москва, ул.Братеевская, д. 16 к 1</x:v>
      </x:c>
      <x:c r="L92" s="36" t="str"/>
      <x:c r="M92" s="36" t="str">
        <x:v>Нет</x:v>
      </x:c>
      <x:c r="N92" s="36" t="str">
        <x:v>INSTALL</x:v>
      </x:c>
      <x:c r="O92" s="36" t="n">
        <x:v>60</x:v>
      </x:c>
      <x:c r="P92" s="36" t="str">
        <x:v>NORMAL</x:v>
      </x:c>
      <x:c r="Q92" s="36" t="str">
        <x:v>ANY</x:v>
      </x:c>
      <x:c r="R92" s="36" t="str">
        <x:v>DIAG_SET|INSTALL_SET|CABLE_PACK</x:v>
      </x:c>
      <x:c r="S92" s="49" t="n">
        <x:v>46251.291666666664</x:v>
      </x:c>
      <x:c r="T92" s="37" t="b">
        <x:v>0</x:v>
      </x:c>
      <x:c r="U92" s="36" t="str">
        <x:v>PENDING</x:v>
      </x:c>
      <x:c r="V92" s="36"/>
      <x:c r="W92" s="36"/>
      <x:c r="X92" s="36" t="str">
        <x:v>needs_geocoding</x:v>
      </x:c>
    </x:row>
    <x:row r="93" ht="15" hidden="0" customHeight="1">
      <x:c r="A93" s="36" t="str">
        <x:v>CORE</x:v>
      </x:c>
      <x:c r="B93" s="36" t="str">
        <x:v>SOUTHEAST-78920</x:v>
      </x:c>
      <x:c r="C93" s="36" t="str">
        <x:v>78920</x:v>
      </x:c>
      <x:c r="D93" s="36" t="str">
        <x:v>SOUTHEAST</x:v>
      </x:c>
      <x:c r="E93" s="36" t="str">
        <x:v>Юго-восток</x:v>
      </x:c>
      <x:c r="F93" s="36" t="str">
        <x:v>Подключение</x:v>
      </x:c>
      <x:c r="G93" s="36" t="str">
        <x:v>Заявка на подключение</x:v>
      </x:c>
      <x:c r="H93" s="49" t="n">
        <x:v>46251.5</x:v>
      </x:c>
      <x:c r="I93" s="49" t="n">
        <x:v>46251.583333333336</x:v>
      </x:c>
      <x:c r="J93" s="36" t="str">
        <x:v>Братеево</x:v>
      </x:c>
      <x:c r="K93" s="36" t="str">
        <x:v>Город Москва, ул.Борисовские Пруды, д. 20 к 1</x:v>
      </x:c>
      <x:c r="L93" s="36" t="str"/>
      <x:c r="M93" s="36" t="str">
        <x:v>Нет</x:v>
      </x:c>
      <x:c r="N93" s="36" t="str">
        <x:v>INSTALL</x:v>
      </x:c>
      <x:c r="O93" s="36" t="n">
        <x:v>90</x:v>
      </x:c>
      <x:c r="P93" s="36" t="str">
        <x:v>NORMAL</x:v>
      </x:c>
      <x:c r="Q93" s="36" t="str">
        <x:v>ANY</x:v>
      </x:c>
      <x:c r="R93" s="36" t="str">
        <x:v>DIAG_SET|INSTALL_SET|CABLE_PACK</x:v>
      </x:c>
      <x:c r="S93" s="49" t="n">
        <x:v>46251.291666666664</x:v>
      </x:c>
      <x:c r="T93" s="37" t="b">
        <x:v>0</x:v>
      </x:c>
      <x:c r="U93" s="36" t="str">
        <x:v>PENDING</x:v>
      </x:c>
      <x:c r="V93" s="36"/>
      <x:c r="W93" s="36"/>
      <x:c r="X93" s="36" t="str">
        <x:v>needs_geocoding</x:v>
      </x:c>
    </x:row>
    <x:row r="94" ht="15" hidden="0" customHeight="1">
      <x:c r="A94" s="36" t="str">
        <x:v>CORE</x:v>
      </x:c>
      <x:c r="B94" s="36" t="str">
        <x:v>SOUTHEAST-78876</x:v>
      </x:c>
      <x:c r="C94" s="36" t="str">
        <x:v>78876</x:v>
      </x:c>
      <x:c r="D94" s="36" t="str">
        <x:v>SOUTHEAST</x:v>
      </x:c>
      <x:c r="E94" s="36" t="str">
        <x:v>Юго-восток</x:v>
      </x:c>
      <x:c r="F94" s="36" t="str">
        <x:v>Подключение</x:v>
      </x:c>
      <x:c r="G94" s="36" t="str">
        <x:v>Конвергенция абонента</x:v>
      </x:c>
      <x:c r="H94" s="49" t="n">
        <x:v>46251.416666666664</x:v>
      </x:c>
      <x:c r="I94" s="49" t="n">
        <x:v>46251.5</x:v>
      </x:c>
      <x:c r="J94" s="36" t="str">
        <x:v>Кашира</x:v>
      </x:c>
      <x:c r="K94" s="36" t="str">
        <x:v>Кашира, ул.Юбилейная, д. 9</x:v>
      </x:c>
      <x:c r="L94" s="36" t="str"/>
      <x:c r="M94" s="36" t="str">
        <x:v>Нет</x:v>
      </x:c>
      <x:c r="N94" s="36" t="str">
        <x:v>INSTALL</x:v>
      </x:c>
      <x:c r="O94" s="36" t="n">
        <x:v>60</x:v>
      </x:c>
      <x:c r="P94" s="36" t="str">
        <x:v>NORMAL</x:v>
      </x:c>
      <x:c r="Q94" s="36" t="str">
        <x:v>CAR</x:v>
      </x:c>
      <x:c r="R94" s="36" t="str">
        <x:v>DIAG_SET|INSTALL_SET|CABLE_PACK</x:v>
      </x:c>
      <x:c r="S94" s="49" t="n">
        <x:v>46251.291666666664</x:v>
      </x:c>
      <x:c r="T94" s="37" t="b">
        <x:v>0</x:v>
      </x:c>
      <x:c r="U94" s="36" t="str">
        <x:v>PENDING</x:v>
      </x:c>
      <x:c r="V94" s="36"/>
      <x:c r="W94" s="36"/>
      <x:c r="X94" s="36" t="str">
        <x:v>needs_geocoding</x:v>
      </x:c>
    </x:row>
    <x:row r="95" ht="15" hidden="0" customHeight="1">
      <x:c r="A95" s="36" t="str">
        <x:v>CORE</x:v>
      </x:c>
      <x:c r="B95" s="36" t="str">
        <x:v>SOUTHEAST-23094</x:v>
      </x:c>
      <x:c r="C95" s="36" t="str">
        <x:v>23094</x:v>
      </x:c>
      <x:c r="D95" s="36" t="str">
        <x:v>SOUTHEAST</x:v>
      </x:c>
      <x:c r="E95" s="36" t="str">
        <x:v>Юго-восток</x:v>
      </x:c>
      <x:c r="F95" s="36" t="str">
        <x:v>Подключение</x:v>
      </x:c>
      <x:c r="G95" s="36" t="str">
        <x:v>Конвергенция абонента</x:v>
      </x:c>
      <x:c r="H95" s="49" t="n">
        <x:v>46251.5</x:v>
      </x:c>
      <x:c r="I95" s="49" t="n">
        <x:v>46251.583333333336</x:v>
      </x:c>
      <x:c r="J95" s="36" t="str">
        <x:v>Кашира</x:v>
      </x:c>
      <x:c r="K95" s="36" t="str">
        <x:v>Кашира, ул.8 Марта, д. 22</x:v>
      </x:c>
      <x:c r="L95" s="36" t="str"/>
      <x:c r="M95" s="36" t="str">
        <x:v>Нет</x:v>
      </x:c>
      <x:c r="N95" s="36" t="str">
        <x:v>INSTALL</x:v>
      </x:c>
      <x:c r="O95" s="36" t="n">
        <x:v>60</x:v>
      </x:c>
      <x:c r="P95" s="36" t="str">
        <x:v>NORMAL</x:v>
      </x:c>
      <x:c r="Q95" s="36" t="str">
        <x:v>CAR</x:v>
      </x:c>
      <x:c r="R95" s="36" t="str">
        <x:v>DIAG_SET|INSTALL_SET|CABLE_PACK</x:v>
      </x:c>
      <x:c r="S95" s="49" t="n">
        <x:v>46251.291666666664</x:v>
      </x:c>
      <x:c r="T95" s="37" t="b">
        <x:v>0</x:v>
      </x:c>
      <x:c r="U95" s="36" t="str">
        <x:v>PENDING</x:v>
      </x:c>
      <x:c r="V95" s="36"/>
      <x:c r="W95" s="36"/>
      <x:c r="X95" s="36" t="str">
        <x:v>needs_geocoding</x:v>
      </x:c>
    </x:row>
    <x:row r="96" ht="15" hidden="0" customHeight="1">
      <x:c r="A96" s="36" t="str">
        <x:v>CORE</x:v>
      </x:c>
      <x:c r="B96" s="36" t="str">
        <x:v>SOUTHEAST-79144</x:v>
      </x:c>
      <x:c r="C96" s="36" t="str">
        <x:v>79144</x:v>
      </x:c>
      <x:c r="D96" s="36" t="str">
        <x:v>SOUTHEAST</x:v>
      </x:c>
      <x:c r="E96" s="36" t="str">
        <x:v>Юго-восток</x:v>
      </x:c>
      <x:c r="F96" s="36" t="str">
        <x:v>Подключение</x:v>
      </x:c>
      <x:c r="G96" s="36" t="str">
        <x:v>Заявка на подключение</x:v>
      </x:c>
      <x:c r="H96" s="49" t="n">
        <x:v>46251.416666666664</x:v>
      </x:c>
      <x:c r="I96" s="49" t="n">
        <x:v>46251.5</x:v>
      </x:c>
      <x:c r="J96" s="36" t="str">
        <x:v>Орехово Борисово Северное</x:v>
      </x:c>
      <x:c r="K96" s="36" t="str">
        <x:v>Город Москва, б-р.Ореховый, д. 7 к 1</x:v>
      </x:c>
      <x:c r="L96" s="36" t="str"/>
      <x:c r="M96" s="36" t="str">
        <x:v>Нет</x:v>
      </x:c>
      <x:c r="N96" s="36" t="str">
        <x:v>INSTALL</x:v>
      </x:c>
      <x:c r="O96" s="36" t="n">
        <x:v>90</x:v>
      </x:c>
      <x:c r="P96" s="36" t="str">
        <x:v>NORMAL</x:v>
      </x:c>
      <x:c r="Q96" s="36" t="str">
        <x:v>ANY</x:v>
      </x:c>
      <x:c r="R96" s="36" t="str">
        <x:v>DIAG_SET|INSTALL_SET|CABLE_PACK</x:v>
      </x:c>
      <x:c r="S96" s="49" t="n">
        <x:v>46251.291666666664</x:v>
      </x:c>
      <x:c r="T96" s="37" t="b">
        <x:v>0</x:v>
      </x:c>
      <x:c r="U96" s="36" t="str">
        <x:v>PENDING</x:v>
      </x:c>
      <x:c r="V96" s="36"/>
      <x:c r="W96" s="36"/>
      <x:c r="X96" s="36" t="str">
        <x:v>needs_geocoding</x:v>
      </x:c>
    </x:row>
    <x:row r="97" ht="15" hidden="0" customHeight="1">
      <x:c r="A97" s="36" t="str">
        <x:v>CORE</x:v>
      </x:c>
      <x:c r="B97" s="36" t="str">
        <x:v>SOUTHEAST-60141</x:v>
      </x:c>
      <x:c r="C97" s="36" t="str">
        <x:v>60141</x:v>
      </x:c>
      <x:c r="D97" s="36" t="str">
        <x:v>SOUTHEAST</x:v>
      </x:c>
      <x:c r="E97" s="36" t="str">
        <x:v>Юго-восток</x:v>
      </x:c>
      <x:c r="F97" s="36" t="str">
        <x:v>Подключение</x:v>
      </x:c>
      <x:c r="G97" s="36" t="str">
        <x:v>Конвергенция абонента</x:v>
      </x:c>
      <x:c r="H97" s="49" t="n">
        <x:v>46251.5</x:v>
      </x:c>
      <x:c r="I97" s="49" t="n">
        <x:v>46251.583333333336</x:v>
      </x:c>
      <x:c r="J97" s="36" t="str">
        <x:v>Орехово Борисово Северное</x:v>
      </x:c>
      <x:c r="K97" s="36" t="str">
        <x:v>Город Москва, ш.Каширское, д. 94 к 1</x:v>
      </x:c>
      <x:c r="L97" s="36" t="str"/>
      <x:c r="M97" s="36" t="str">
        <x:v>Нет</x:v>
      </x:c>
      <x:c r="N97" s="36" t="str">
        <x:v>INSTALL</x:v>
      </x:c>
      <x:c r="O97" s="36" t="n">
        <x:v>60</x:v>
      </x:c>
      <x:c r="P97" s="36" t="str">
        <x:v>NORMAL</x:v>
      </x:c>
      <x:c r="Q97" s="36" t="str">
        <x:v>CAR</x:v>
      </x:c>
      <x:c r="R97" s="36" t="str">
        <x:v>DIAG_SET|INSTALL_SET|CABLE_PACK</x:v>
      </x:c>
      <x:c r="S97" s="49" t="n">
        <x:v>46251.291666666664</x:v>
      </x:c>
      <x:c r="T97" s="37" t="b">
        <x:v>0</x:v>
      </x:c>
      <x:c r="U97" s="36" t="str">
        <x:v>PENDING</x:v>
      </x:c>
      <x:c r="V97" s="36"/>
      <x:c r="W97" s="36"/>
      <x:c r="X97" s="36" t="str">
        <x:v>needs_geocoding</x:v>
      </x:c>
    </x:row>
    <x:row r="98" ht="15" hidden="0" customHeight="1">
      <x:c r="A98" s="36" t="str">
        <x:v>CORE</x:v>
      </x:c>
      <x:c r="B98" s="36" t="str">
        <x:v>SOUTHEAST-79450</x:v>
      </x:c>
      <x:c r="C98" s="36" t="str">
        <x:v>79450</x:v>
      </x:c>
      <x:c r="D98" s="36" t="str">
        <x:v>SOUTHEAST</x:v>
      </x:c>
      <x:c r="E98" s="36" t="str">
        <x:v>Юго-восток</x:v>
      </x:c>
      <x:c r="F98" s="36" t="str">
        <x:v>Подключение</x:v>
      </x:c>
      <x:c r="G98" s="36" t="str">
        <x:v>Заказ подключения/Дозаказ оборудования</x:v>
      </x:c>
      <x:c r="H98" s="49" t="n">
        <x:v>46251.5</x:v>
      </x:c>
      <x:c r="I98" s="49" t="n">
        <x:v>46251.583333333336</x:v>
      </x:c>
      <x:c r="J98" s="36" t="str">
        <x:v>Орехово Борисово Северное</x:v>
      </x:c>
      <x:c r="K98" s="36" t="str">
        <x:v>Город Москва, б-р.Ореховый, д. 11 к 1</x:v>
      </x:c>
      <x:c r="L98" s="36" t="str"/>
      <x:c r="M98" s="36" t="str">
        <x:v>Нет</x:v>
      </x:c>
      <x:c r="N98" s="36" t="str">
        <x:v>INSTALL</x:v>
      </x:c>
      <x:c r="O98" s="36" t="n">
        <x:v>75</x:v>
      </x:c>
      <x:c r="P98" s="36" t="str">
        <x:v>NORMAL</x:v>
      </x:c>
      <x:c r="Q98" s="36" t="str">
        <x:v>ANY</x:v>
      </x:c>
      <x:c r="R98" s="36" t="str">
        <x:v>DIAG_SET|INSTALL_SET|CABLE_PACK</x:v>
      </x:c>
      <x:c r="S98" s="49" t="n">
        <x:v>46251.291666666664</x:v>
      </x:c>
      <x:c r="T98" s="37" t="b">
        <x:v>0</x:v>
      </x:c>
      <x:c r="U98" s="36" t="str">
        <x:v>PENDING</x:v>
      </x:c>
      <x:c r="V98" s="36"/>
      <x:c r="W98" s="36"/>
      <x:c r="X98" s="36" t="str">
        <x:v>needs_geocoding</x:v>
      </x:c>
    </x:row>
    <x:row r="99" ht="15" hidden="0" customHeight="1">
      <x:c r="A99" s="36" t="str">
        <x:v>CORE</x:v>
      </x:c>
      <x:c r="B99" s="36" t="str">
        <x:v>SOUTHEAST-58129</x:v>
      </x:c>
      <x:c r="C99" s="36" t="str">
        <x:v>58129</x:v>
      </x:c>
      <x:c r="D99" s="36" t="str">
        <x:v>SOUTHEAST</x:v>
      </x:c>
      <x:c r="E99" s="36" t="str">
        <x:v>Юго-восток</x:v>
      </x:c>
      <x:c r="F99" s="36" t="str">
        <x:v>Подключение</x:v>
      </x:c>
      <x:c r="G99" s="36" t="str">
        <x:v>Заявка на подключение</x:v>
      </x:c>
      <x:c r="H99" s="49" t="n">
        <x:v>46251.416666666664</x:v>
      </x:c>
      <x:c r="I99" s="49" t="n">
        <x:v>46251.5</x:v>
      </x:c>
      <x:c r="J99" s="36" t="str">
        <x:v>Орехово Борисово Северное</x:v>
      </x:c>
      <x:c r="K99" s="36" t="str">
        <x:v>Город Москва, проезд.Борисовский, д. 44 к 3</x:v>
      </x:c>
      <x:c r="L99" s="36" t="str"/>
      <x:c r="M99" s="36" t="str">
        <x:v>Нет</x:v>
      </x:c>
      <x:c r="N99" s="36" t="str">
        <x:v>INSTALL</x:v>
      </x:c>
      <x:c r="O99" s="36" t="n">
        <x:v>90</x:v>
      </x:c>
      <x:c r="P99" s="36" t="str">
        <x:v>NORMAL</x:v>
      </x:c>
      <x:c r="Q99" s="36" t="str">
        <x:v>ANY</x:v>
      </x:c>
      <x:c r="R99" s="36" t="str">
        <x:v>DIAG_SET|INSTALL_SET|CABLE_PACK</x:v>
      </x:c>
      <x:c r="S99" s="49" t="n">
        <x:v>46251.291666666664</x:v>
      </x:c>
      <x:c r="T99" s="37" t="b">
        <x:v>0</x:v>
      </x:c>
      <x:c r="U99" s="36" t="str">
        <x:v>PENDING</x:v>
      </x:c>
      <x:c r="V99" s="36"/>
      <x:c r="W99" s="36"/>
      <x:c r="X99" s="36" t="str">
        <x:v>needs_geocoding</x:v>
      </x:c>
    </x:row>
    <x:row r="100" ht="15" hidden="0" customHeight="1">
      <x:c r="A100" s="36" t="str">
        <x:v>CORE</x:v>
      </x:c>
      <x:c r="B100" s="36" t="str">
        <x:v>SOUTHEAST-93798</x:v>
      </x:c>
      <x:c r="C100" s="36" t="str">
        <x:v>93798</x:v>
      </x:c>
      <x:c r="D100" s="36" t="str">
        <x:v>SOUTHEAST</x:v>
      </x:c>
      <x:c r="E100" s="36" t="str">
        <x:v>Юго-восток</x:v>
      </x:c>
      <x:c r="F100" s="36" t="str">
        <x:v>Подключение</x:v>
      </x:c>
      <x:c r="G100" s="36" t="str">
        <x:v>Конвергенция абонента</x:v>
      </x:c>
      <x:c r="H100" s="49" t="n">
        <x:v>46251.416666666664</x:v>
      </x:c>
      <x:c r="I100" s="49" t="n">
        <x:v>46251.5</x:v>
      </x:c>
      <x:c r="J100" s="36" t="str">
        <x:v>Зябликово</x:v>
      </x:c>
      <x:c r="K100" s="36" t="str">
        <x:v>Город Москва, проезд.Ореховый, д. 41</x:v>
      </x:c>
      <x:c r="L100" s="36" t="str"/>
      <x:c r="M100" s="36" t="str">
        <x:v>Нет</x:v>
      </x:c>
      <x:c r="N100" s="36" t="str">
        <x:v>INSTALL</x:v>
      </x:c>
      <x:c r="O100" s="36" t="n">
        <x:v>60</x:v>
      </x:c>
      <x:c r="P100" s="36" t="str">
        <x:v>NORMAL</x:v>
      </x:c>
      <x:c r="Q100" s="36" t="str">
        <x:v>ANY</x:v>
      </x:c>
      <x:c r="R100" s="36" t="str">
        <x:v>DIAG_SET|INSTALL_SET|CABLE_PACK</x:v>
      </x:c>
      <x:c r="S100" s="49" t="n">
        <x:v>46251.291666666664</x:v>
      </x:c>
      <x:c r="T100" s="37" t="b">
        <x:v>0</x:v>
      </x:c>
      <x:c r="U100" s="36" t="str">
        <x:v>PENDING</x:v>
      </x:c>
      <x:c r="V100" s="36"/>
      <x:c r="W100" s="36"/>
      <x:c r="X100" s="36" t="str">
        <x:v>needs_geocoding</x:v>
      </x:c>
    </x:row>
    <x:row r="101" ht="15" hidden="0" customHeight="1">
      <x:c r="A101" s="36" t="str">
        <x:v>CORE</x:v>
      </x:c>
      <x:c r="B101" s="36" t="str">
        <x:v>SOUTHEAST-89696</x:v>
      </x:c>
      <x:c r="C101" s="36" t="str">
        <x:v>89696</x:v>
      </x:c>
      <x:c r="D101" s="36" t="str">
        <x:v>SOUTHEAST</x:v>
      </x:c>
      <x:c r="E101" s="36" t="str">
        <x:v>Юго-восток</x:v>
      </x:c>
      <x:c r="F101" s="36" t="str">
        <x:v>Подключение</x:v>
      </x:c>
      <x:c r="G101" s="36" t="str">
        <x:v>Конвергенция абонента</x:v>
      </x:c>
      <x:c r="H101" s="49" t="n">
        <x:v>46251.583333333336</x:v>
      </x:c>
      <x:c r="I101" s="49" t="n">
        <x:v>46251.666666666664</x:v>
      </x:c>
      <x:c r="J101" s="36" t="str">
        <x:v>Домодедово</x:v>
      </x:c>
      <x:c r="K101" s="36" t="str">
        <x:v>Домодедово, ул.Ильюшина, д. 20</x:v>
      </x:c>
      <x:c r="L101" s="36" t="str"/>
      <x:c r="M101" s="36" t="str">
        <x:v>Нет</x:v>
      </x:c>
      <x:c r="N101" s="36" t="str">
        <x:v>INSTALL</x:v>
      </x:c>
      <x:c r="O101" s="36" t="n">
        <x:v>60</x:v>
      </x:c>
      <x:c r="P101" s="36" t="str">
        <x:v>NORMAL</x:v>
      </x:c>
      <x:c r="Q101" s="36" t="str">
        <x:v>CAR</x:v>
      </x:c>
      <x:c r="R101" s="36" t="str">
        <x:v>DIAG_SET|INSTALL_SET|CABLE_PACK</x:v>
      </x:c>
      <x:c r="S101" s="49" t="n">
        <x:v>46251.291666666664</x:v>
      </x:c>
      <x:c r="T101" s="37" t="b">
        <x:v>0</x:v>
      </x:c>
      <x:c r="U101" s="36" t="str">
        <x:v>PENDING</x:v>
      </x:c>
      <x:c r="V101" s="36"/>
      <x:c r="W101" s="36"/>
      <x:c r="X101" s="36" t="str">
        <x:v>needs_geocoding</x:v>
      </x:c>
    </x:row>
    <x:row r="102" ht="15" hidden="0" customHeight="1">
      <x:c r="A102" s="36" t="str">
        <x:v>CORE</x:v>
      </x:c>
      <x:c r="B102" s="36" t="str">
        <x:v>SOUTHEAST-20362</x:v>
      </x:c>
      <x:c r="C102" s="36" t="str">
        <x:v>20362</x:v>
      </x:c>
      <x:c r="D102" s="36" t="str">
        <x:v>SOUTHEAST</x:v>
      </x:c>
      <x:c r="E102" s="36" t="str">
        <x:v>Юго-восток</x:v>
      </x:c>
      <x:c r="F102" s="36" t="str">
        <x:v>Подключение</x:v>
      </x:c>
      <x:c r="G102" s="36" t="str">
        <x:v>Конвергенция абонента</x:v>
      </x:c>
      <x:c r="H102" s="49" t="n">
        <x:v>46251.583333333336</x:v>
      </x:c>
      <x:c r="I102" s="49" t="n">
        <x:v>46251.666666666664</x:v>
      </x:c>
      <x:c r="J102" s="36" t="str">
        <x:v>Кашира</x:v>
      </x:c>
      <x:c r="K102" s="36" t="str">
        <x:v>Кашира, ул.Юбилейная, д. 8</x:v>
      </x:c>
      <x:c r="L102" s="36" t="str"/>
      <x:c r="M102" s="36" t="str">
        <x:v>Нет</x:v>
      </x:c>
      <x:c r="N102" s="36" t="str">
        <x:v>INSTALL</x:v>
      </x:c>
      <x:c r="O102" s="36" t="n">
        <x:v>60</x:v>
      </x:c>
      <x:c r="P102" s="36" t="str">
        <x:v>NORMAL</x:v>
      </x:c>
      <x:c r="Q102" s="36" t="str">
        <x:v>CAR</x:v>
      </x:c>
      <x:c r="R102" s="36" t="str">
        <x:v>DIAG_SET|INSTALL_SET|CABLE_PACK</x:v>
      </x:c>
      <x:c r="S102" s="49" t="n">
        <x:v>46251.291666666664</x:v>
      </x:c>
      <x:c r="T102" s="37" t="b">
        <x:v>0</x:v>
      </x:c>
      <x:c r="U102" s="36" t="str">
        <x:v>PENDING</x:v>
      </x:c>
      <x:c r="V102" s="36"/>
      <x:c r="W102" s="36"/>
      <x:c r="X102" s="36" t="str">
        <x:v>needs_geocoding</x:v>
      </x:c>
    </x:row>
    <x:row r="103" ht="15" hidden="0" customHeight="1">
      <x:c r="A103" s="36" t="str">
        <x:v>CORE</x:v>
      </x:c>
      <x:c r="B103" s="36" t="str">
        <x:v>SOUTHEAST-40698</x:v>
      </x:c>
      <x:c r="C103" s="36" t="str">
        <x:v>40698</x:v>
      </x:c>
      <x:c r="D103" s="36" t="str">
        <x:v>SOUTHEAST</x:v>
      </x:c>
      <x:c r="E103" s="36" t="str">
        <x:v>Юго-восток</x:v>
      </x:c>
      <x:c r="F103" s="36" t="str">
        <x:v>Подключение</x:v>
      </x:c>
      <x:c r="G103" s="36" t="str">
        <x:v>Конвергенция абонента</x:v>
      </x:c>
      <x:c r="H103" s="49" t="n">
        <x:v>46251.5</x:v>
      </x:c>
      <x:c r="I103" s="49" t="n">
        <x:v>46251.583333333336</x:v>
      </x:c>
      <x:c r="J103" s="36" t="str">
        <x:v>Зябликово</x:v>
      </x:c>
      <x:c r="K103" s="36" t="str">
        <x:v>Город Москва, ул.Кустанайская, д. 9 к 1</x:v>
      </x:c>
      <x:c r="L103" s="36" t="str"/>
      <x:c r="M103" s="36" t="str">
        <x:v>Нет</x:v>
      </x:c>
      <x:c r="N103" s="36" t="str">
        <x:v>INSTALL</x:v>
      </x:c>
      <x:c r="O103" s="36" t="n">
        <x:v>60</x:v>
      </x:c>
      <x:c r="P103" s="36" t="str">
        <x:v>NORMAL</x:v>
      </x:c>
      <x:c r="Q103" s="36" t="str">
        <x:v>ANY</x:v>
      </x:c>
      <x:c r="R103" s="36" t="str">
        <x:v>DIAG_SET|INSTALL_SET|CABLE_PACK</x:v>
      </x:c>
      <x:c r="S103" s="49" t="n">
        <x:v>46251.291666666664</x:v>
      </x:c>
      <x:c r="T103" s="37" t="b">
        <x:v>0</x:v>
      </x:c>
      <x:c r="U103" s="36" t="str">
        <x:v>PENDING</x:v>
      </x:c>
      <x:c r="V103" s="36"/>
      <x:c r="W103" s="36"/>
      <x:c r="X103" s="36" t="str">
        <x:v>needs_geocoding</x:v>
      </x:c>
    </x:row>
    <x:row r="104" ht="15" hidden="0" customHeight="1">
      <x:c r="A104" s="36" t="str">
        <x:v>CORE</x:v>
      </x:c>
      <x:c r="B104" s="36" t="str">
        <x:v>SOUTHEAST-2427</x:v>
      </x:c>
      <x:c r="C104" s="36" t="str">
        <x:v>2427</x:v>
      </x:c>
      <x:c r="D104" s="36" t="str">
        <x:v>SOUTHEAST</x:v>
      </x:c>
      <x:c r="E104" s="36" t="str">
        <x:v>Юго-восток</x:v>
      </x:c>
      <x:c r="F104" s="36" t="str">
        <x:v>Дозаказ</x:v>
      </x:c>
      <x:c r="G104" s="36" t="str">
        <x:v>Дозаказ оборудования</x:v>
      </x:c>
      <x:c r="H104" s="49" t="n">
        <x:v>46251.75</x:v>
      </x:c>
      <x:c r="I104" s="49" t="n">
        <x:v>46251.833333333336</x:v>
      </x:c>
      <x:c r="J104" s="36" t="str">
        <x:v>Царицыно</x:v>
      </x:c>
      <x:c r="K104" s="36" t="str">
        <x:v>Город Москва, пр-кт.Пролетарский, д. 18 к 4</x:v>
      </x:c>
      <x:c r="L104" s="36" t="str"/>
      <x:c r="M104" s="36" t="str">
        <x:v>Нет</x:v>
      </x:c>
      <x:c r="N104" s="36" t="str">
        <x:v>INSTALL</x:v>
      </x:c>
      <x:c r="O104" s="36" t="n">
        <x:v>45</x:v>
      </x:c>
      <x:c r="P104" s="36" t="str">
        <x:v>NORMAL</x:v>
      </x:c>
      <x:c r="Q104" s="36" t="str">
        <x:v>ANY</x:v>
      </x:c>
      <x:c r="R104" s="36" t="str">
        <x:v>DIAG_SET|INSTALL_SET</x:v>
      </x:c>
      <x:c r="S104" s="49" t="n">
        <x:v>46251.291666666664</x:v>
      </x:c>
      <x:c r="T104" s="37" t="b">
        <x:v>0</x:v>
      </x:c>
      <x:c r="U104" s="36" t="str">
        <x:v>PENDING</x:v>
      </x:c>
      <x:c r="V104" s="36"/>
      <x:c r="W104" s="36"/>
      <x:c r="X104" s="36" t="str">
        <x:v>needs_geocoding</x:v>
      </x:c>
    </x:row>
    <x:row r="105" ht="15" hidden="0" customHeight="1">
      <x:c r="A105" s="36" t="str">
        <x:v>CORE</x:v>
      </x:c>
      <x:c r="B105" s="36" t="str">
        <x:v>SOUTHEAST-51603</x:v>
      </x:c>
      <x:c r="C105" s="36" t="str">
        <x:v>51603</x:v>
      </x:c>
      <x:c r="D105" s="36" t="str">
        <x:v>SOUTHEAST</x:v>
      </x:c>
      <x:c r="E105" s="36" t="str">
        <x:v>Юго-восток</x:v>
      </x:c>
      <x:c r="F105" s="36" t="str">
        <x:v>Дозаказ</x:v>
      </x:c>
      <x:c r="G105" s="36" t="str">
        <x:v>Заказ подключения/Дозаказ оборудования</x:v>
      </x:c>
      <x:c r="H105" s="49" t="n">
        <x:v>46251.75</x:v>
      </x:c>
      <x:c r="I105" s="49" t="n">
        <x:v>46251.833333333336</x:v>
      </x:c>
      <x:c r="J105" s="36" t="str">
        <x:v>Братеево</x:v>
      </x:c>
      <x:c r="K105" s="36" t="str">
        <x:v>Город Москва, ул.Борисовские Пруды, д. 20 к 1</x:v>
      </x:c>
      <x:c r="L105" s="36" t="str"/>
      <x:c r="M105" s="36" t="str">
        <x:v>Нет</x:v>
      </x:c>
      <x:c r="N105" s="36" t="str">
        <x:v>INSTALL</x:v>
      </x:c>
      <x:c r="O105" s="36" t="n">
        <x:v>75</x:v>
      </x:c>
      <x:c r="P105" s="36" t="str">
        <x:v>NORMAL</x:v>
      </x:c>
      <x:c r="Q105" s="36" t="str">
        <x:v>ANY</x:v>
      </x:c>
      <x:c r="R105" s="36" t="str">
        <x:v>DIAG_SET|INSTALL_SET|CABLE_PACK</x:v>
      </x:c>
      <x:c r="S105" s="49" t="n">
        <x:v>46251.291666666664</x:v>
      </x:c>
      <x:c r="T105" s="37" t="b">
        <x:v>0</x:v>
      </x:c>
      <x:c r="U105" s="36" t="str">
        <x:v>PENDING</x:v>
      </x:c>
      <x:c r="V105" s="36"/>
      <x:c r="W105" s="36"/>
      <x:c r="X105" s="36" t="str">
        <x:v>needs_geocoding</x:v>
      </x:c>
    </x:row>
    <x:row r="106" ht="15" hidden="0" customHeight="1">
      <x:c r="A106" s="36" t="str">
        <x:v>CORE</x:v>
      </x:c>
      <x:c r="B106" s="36" t="str">
        <x:v>SOUTHEAST-13404</x:v>
      </x:c>
      <x:c r="C106" s="36" t="str">
        <x:v>13404</x:v>
      </x:c>
      <x:c r="D106" s="36" t="str">
        <x:v>SOUTHEAST</x:v>
      </x:c>
      <x:c r="E106" s="36" t="str">
        <x:v>Юго-восток</x:v>
      </x:c>
      <x:c r="F106" s="36" t="str">
        <x:v>Дозаказ</x:v>
      </x:c>
      <x:c r="G106" s="36" t="str">
        <x:v>Конвергенция абонента</x:v>
      </x:c>
      <x:c r="H106" s="49" t="n">
        <x:v>46251.833333333336</x:v>
      </x:c>
      <x:c r="I106" s="49" t="n">
        <x:v>46251.916666666664</x:v>
      </x:c>
      <x:c r="J106" s="36" t="str">
        <x:v>Кашира</x:v>
      </x:c>
      <x:c r="K106" s="36" t="str">
        <x:v>Кашира, ул.Кржижановского, д. 7</x:v>
      </x:c>
      <x:c r="L106" s="36" t="str"/>
      <x:c r="M106" s="36" t="str">
        <x:v>Нет</x:v>
      </x:c>
      <x:c r="N106" s="36" t="str">
        <x:v>INSTALL</x:v>
      </x:c>
      <x:c r="O106" s="36" t="n">
        <x:v>60</x:v>
      </x:c>
      <x:c r="P106" s="36" t="str">
        <x:v>NORMAL</x:v>
      </x:c>
      <x:c r="Q106" s="36" t="str">
        <x:v>CAR</x:v>
      </x:c>
      <x:c r="R106" s="36" t="str">
        <x:v>DIAG_SET|INSTALL_SET|CABLE_PACK</x:v>
      </x:c>
      <x:c r="S106" s="49" t="n">
        <x:v>46251.291666666664</x:v>
      </x:c>
      <x:c r="T106" s="37" t="b">
        <x:v>0</x:v>
      </x:c>
      <x:c r="U106" s="36" t="str">
        <x:v>PENDING</x:v>
      </x:c>
      <x:c r="V106" s="36"/>
      <x:c r="W106" s="36"/>
      <x:c r="X106" s="36" t="str">
        <x:v>needs_geocoding</x:v>
      </x:c>
    </x:row>
    <x:row r="107" ht="15" hidden="0" customHeight="1">
      <x:c r="A107" s="36" t="str">
        <x:v>CORE</x:v>
      </x:c>
      <x:c r="B107" s="36" t="str">
        <x:v>SOUTHEAST-72476</x:v>
      </x:c>
      <x:c r="C107" s="36" t="str">
        <x:v>72476</x:v>
      </x:c>
      <x:c r="D107" s="36" t="str">
        <x:v>SOUTHEAST</x:v>
      </x:c>
      <x:c r="E107" s="36" t="str">
        <x:v>Юго-восток</x:v>
      </x:c>
      <x:c r="F107" s="36" t="str">
        <x:v>Дозаказ</x:v>
      </x:c>
      <x:c r="G107" s="36" t="str">
        <x:v>Дозаказ оборудования</x:v>
      </x:c>
      <x:c r="H107" s="49" t="n">
        <x:v>46251.583333333336</x:v>
      </x:c>
      <x:c r="I107" s="49" t="n">
        <x:v>46251.666666666664</x:v>
      </x:c>
      <x:c r="J107" s="36" t="str">
        <x:v>Бирюлево Западное</x:v>
      </x:c>
      <x:c r="K107" s="36" t="str">
        <x:v>Город Москва, ул.Медынская, д. 5 к 1</x:v>
      </x:c>
      <x:c r="L107" s="36" t="str"/>
      <x:c r="M107" s="36" t="str">
        <x:v>Нет</x:v>
      </x:c>
      <x:c r="N107" s="36" t="str">
        <x:v>INSTALL</x:v>
      </x:c>
      <x:c r="O107" s="36" t="n">
        <x:v>45</x:v>
      </x:c>
      <x:c r="P107" s="36" t="str">
        <x:v>NORMAL</x:v>
      </x:c>
      <x:c r="Q107" s="36" t="str">
        <x:v>ANY</x:v>
      </x:c>
      <x:c r="R107" s="36" t="str">
        <x:v>DIAG_SET|INSTALL_SET</x:v>
      </x:c>
      <x:c r="S107" s="49" t="n">
        <x:v>46251.291666666664</x:v>
      </x:c>
      <x:c r="T107" s="37" t="b">
        <x:v>0</x:v>
      </x:c>
      <x:c r="U107" s="36" t="str">
        <x:v>PENDING</x:v>
      </x:c>
      <x:c r="V107" s="36"/>
      <x:c r="W107" s="36"/>
      <x:c r="X107" s="36" t="str">
        <x:v>needs_geocoding</x:v>
      </x:c>
    </x:row>
    <x:row r="108" ht="15" hidden="0" customHeight="1">
      <x:c r="A108" s="36" t="str">
        <x:v>CORE</x:v>
      </x:c>
      <x:c r="B108" s="36" t="str">
        <x:v>SOUTHEAST-90989</x:v>
      </x:c>
      <x:c r="C108" s="36" t="str">
        <x:v>90989</x:v>
      </x:c>
      <x:c r="D108" s="36" t="str">
        <x:v>SOUTHEAST</x:v>
      </x:c>
      <x:c r="E108" s="36" t="str">
        <x:v>Юго-восток</x:v>
      </x:c>
      <x:c r="F108" s="36" t="str">
        <x:v>Локальная заявка</x:v>
      </x:c>
      <x:c r="G108" s="36" t="str">
        <x:v>Нет линка</x:v>
      </x:c>
      <x:c r="H108" s="49" t="n">
        <x:v>46251.666666666664</x:v>
      </x:c>
      <x:c r="I108" s="49" t="n">
        <x:v>46251.75</x:v>
      </x:c>
      <x:c r="J108" s="36" t="str">
        <x:v>Домодедово</x:v>
      </x:c>
      <x:c r="K108" s="36" t="str">
        <x:v>Домодедово, ул.Гагарина, д. 55/2</x:v>
      </x:c>
      <x:c r="L108" s="36" t="str"/>
      <x:c r="M108" s="36" t="str">
        <x:v>Нет</x:v>
      </x:c>
      <x:c r="N108" s="36" t="str">
        <x:v>LOCAL</x:v>
      </x:c>
      <x:c r="O108" s="36" t="n">
        <x:v>45</x:v>
      </x:c>
      <x:c r="P108" s="36" t="str">
        <x:v>NORMAL</x:v>
      </x:c>
      <x:c r="Q108" s="36" t="str">
        <x:v>CAR</x:v>
      </x:c>
      <x:c r="R108" s="36" t="str">
        <x:v>DIAG_SET</x:v>
      </x:c>
      <x:c r="S108" s="49" t="n">
        <x:v>46251.291666666664</x:v>
      </x:c>
      <x:c r="T108" s="37" t="b">
        <x:v>0</x:v>
      </x:c>
      <x:c r="U108" s="36" t="str">
        <x:v>PENDING</x:v>
      </x:c>
      <x:c r="V108" s="36"/>
      <x:c r="W108" s="36"/>
      <x:c r="X108" s="36" t="str">
        <x:v>needs_geocoding</x:v>
      </x:c>
    </x:row>
    <x:row r="109" ht="15" hidden="0" customHeight="1">
      <x:c r="A109" s="36" t="str">
        <x:v>CORE</x:v>
      </x:c>
      <x:c r="B109" s="36" t="str">
        <x:v>SOUTHEAST-7660</x:v>
      </x:c>
      <x:c r="C109" s="36" t="str">
        <x:v>7660</x:v>
      </x:c>
      <x:c r="D109" s="36" t="str">
        <x:v>SOUTHEAST</x:v>
      </x:c>
      <x:c r="E109" s="36" t="str">
        <x:v>Юго-восток</x:v>
      </x:c>
      <x:c r="F109" s="36" t="str">
        <x:v>Локальная заявка</x:v>
      </x:c>
      <x:c r="G109" s="36" t="str">
        <x:v>Нет линка</x:v>
      </x:c>
      <x:c r="H109" s="49" t="n">
        <x:v>46251.75</x:v>
      </x:c>
      <x:c r="I109" s="49" t="n">
        <x:v>46251.833333333336</x:v>
      </x:c>
      <x:c r="J109" s="36" t="str">
        <x:v>Домодедово</x:v>
      </x:c>
      <x:c r="K109" s="36" t="str">
        <x:v>Домодедово, ул.1-я Коммунистическая, д. 39</x:v>
      </x:c>
      <x:c r="L109" s="36" t="str"/>
      <x:c r="M109" s="36" t="str">
        <x:v>Нет</x:v>
      </x:c>
      <x:c r="N109" s="36" t="str">
        <x:v>LOCAL</x:v>
      </x:c>
      <x:c r="O109" s="36" t="n">
        <x:v>45</x:v>
      </x:c>
      <x:c r="P109" s="36" t="str">
        <x:v>NORMAL</x:v>
      </x:c>
      <x:c r="Q109" s="36" t="str">
        <x:v>CAR</x:v>
      </x:c>
      <x:c r="R109" s="36" t="str">
        <x:v>DIAG_SET</x:v>
      </x:c>
      <x:c r="S109" s="49" t="n">
        <x:v>46251.291666666664</x:v>
      </x:c>
      <x:c r="T109" s="37" t="b">
        <x:v>0</x:v>
      </x:c>
      <x:c r="U109" s="36" t="str">
        <x:v>PENDING</x:v>
      </x:c>
      <x:c r="V109" s="36"/>
      <x:c r="W109" s="36"/>
      <x:c r="X109" s="36" t="str">
        <x:v>needs_geocoding</x:v>
      </x:c>
    </x:row>
    <x:row r="110" ht="15" hidden="0" customHeight="1">
      <x:c r="A110" s="36" t="str">
        <x:v>CORE</x:v>
      </x:c>
      <x:c r="B110" s="36" t="str">
        <x:v>SOUTHEAST-89067</x:v>
      </x:c>
      <x:c r="C110" s="36" t="str">
        <x:v>89067</x:v>
      </x:c>
      <x:c r="D110" s="36" t="str">
        <x:v>SOUTHEAST</x:v>
      </x:c>
      <x:c r="E110" s="36" t="str">
        <x:v>Юго-восток</x:v>
      </x:c>
      <x:c r="F110" s="36" t="str">
        <x:v>Локальная заявка</x:v>
      </x:c>
      <x:c r="G110" s="36" t="str">
        <x:v>Работа с кабелем</x:v>
      </x:c>
      <x:c r="H110" s="49" t="n">
        <x:v>46251.75</x:v>
      </x:c>
      <x:c r="I110" s="49" t="n">
        <x:v>46251.833333333336</x:v>
      </x:c>
      <x:c r="J110" s="36" t="str">
        <x:v>Братеево</x:v>
      </x:c>
      <x:c r="K110" s="36" t="str">
        <x:v>Город Москва, ул.Борисовские Пруды, д. 48 к 2</x:v>
      </x:c>
      <x:c r="L110" s="36" t="str"/>
      <x:c r="M110" s="36" t="str">
        <x:v>Нет</x:v>
      </x:c>
      <x:c r="N110" s="36" t="str">
        <x:v>LOCAL</x:v>
      </x:c>
      <x:c r="O110" s="36" t="n">
        <x:v>75</x:v>
      </x:c>
      <x:c r="P110" s="36" t="str">
        <x:v>NORMAL</x:v>
      </x:c>
      <x:c r="Q110" s="36" t="str">
        <x:v>ANY</x:v>
      </x:c>
      <x:c r="R110" s="36" t="str">
        <x:v>DIAG_SET|CABLE_SET|CABLE_PACK</x:v>
      </x:c>
      <x:c r="S110" s="49" t="n">
        <x:v>46251.291666666664</x:v>
      </x:c>
      <x:c r="T110" s="37" t="b">
        <x:v>0</x:v>
      </x:c>
      <x:c r="U110" s="36" t="str">
        <x:v>PENDING</x:v>
      </x:c>
      <x:c r="V110" s="36"/>
      <x:c r="W110" s="36"/>
      <x:c r="X110" s="36" t="str">
        <x:v>needs_geocoding</x:v>
      </x:c>
    </x:row>
    <x:row r="111" ht="15" hidden="0" customHeight="1">
      <x:c r="A111" s="36" t="str">
        <x:v>CORE</x:v>
      </x:c>
      <x:c r="B111" s="36" t="str">
        <x:v>SOUTHEAST-65268</x:v>
      </x:c>
      <x:c r="C111" s="36" t="str">
        <x:v>65268</x:v>
      </x:c>
      <x:c r="D111" s="36" t="str">
        <x:v>SOUTHEAST</x:v>
      </x:c>
      <x:c r="E111" s="36" t="str">
        <x:v>Юго-восток</x:v>
      </x:c>
      <x:c r="F111" s="36" t="str">
        <x:v>Локальная заявка</x:v>
      </x:c>
      <x:c r="G111" s="36" t="str">
        <x:v>Работа с кабелем</x:v>
      </x:c>
      <x:c r="H111" s="49" t="n">
        <x:v>46251.833333333336</x:v>
      </x:c>
      <x:c r="I111" s="49" t="n">
        <x:v>46251.916666666664</x:v>
      </x:c>
      <x:c r="J111" s="36" t="str">
        <x:v>Ступино</x:v>
      </x:c>
      <x:c r="K111" s="36" t="str">
        <x:v>Ступино, ул.Калинина, д. 34</x:v>
      </x:c>
      <x:c r="L111" s="36" t="str"/>
      <x:c r="M111" s="36" t="str">
        <x:v>Нет</x:v>
      </x:c>
      <x:c r="N111" s="36" t="str">
        <x:v>LOCAL</x:v>
      </x:c>
      <x:c r="O111" s="36" t="n">
        <x:v>75</x:v>
      </x:c>
      <x:c r="P111" s="36" t="str">
        <x:v>NORMAL</x:v>
      </x:c>
      <x:c r="Q111" s="36" t="str">
        <x:v>CAR</x:v>
      </x:c>
      <x:c r="R111" s="36" t="str">
        <x:v>DIAG_SET|CABLE_SET|CABLE_PACK</x:v>
      </x:c>
      <x:c r="S111" s="49" t="n">
        <x:v>46251.291666666664</x:v>
      </x:c>
      <x:c r="T111" s="37" t="b">
        <x:v>0</x:v>
      </x:c>
      <x:c r="U111" s="36" t="str">
        <x:v>PENDING</x:v>
      </x:c>
      <x:c r="V111" s="36"/>
      <x:c r="W111" s="36"/>
      <x:c r="X111" s="36" t="str">
        <x:v>needs_geocoding</x:v>
      </x:c>
    </x:row>
    <x:row r="112" ht="15" hidden="0" customHeight="1">
      <x:c r="A112" s="36" t="str">
        <x:v>CORE</x:v>
      </x:c>
      <x:c r="B112" s="36" t="str">
        <x:v>SOUTHEAST-33880</x:v>
      </x:c>
      <x:c r="C112" s="36" t="str">
        <x:v>33880</x:v>
      </x:c>
      <x:c r="D112" s="36" t="str">
        <x:v>SOUTHEAST</x:v>
      </x:c>
      <x:c r="E112" s="36" t="str">
        <x:v>Юго-восток</x:v>
      </x:c>
      <x:c r="F112" s="36" t="str">
        <x:v>Локальная заявка</x:v>
      </x:c>
      <x:c r="G112" s="36" t="str">
        <x:v>Низкая скорость</x:v>
      </x:c>
      <x:c r="H112" s="49" t="n">
        <x:v>46251.833333333336</x:v>
      </x:c>
      <x:c r="I112" s="49" t="n">
        <x:v>46251.916666666664</x:v>
      </x:c>
      <x:c r="J112" s="36" t="str">
        <x:v>Орехово Борисово Южное</x:v>
      </x:c>
      <x:c r="K112" s="36" t="str">
        <x:v>Город Москва, проезд.Шипиловский, д. 59 к 2</x:v>
      </x:c>
      <x:c r="L112" s="36" t="str"/>
      <x:c r="M112" s="36" t="str">
        <x:v>Нет</x:v>
      </x:c>
      <x:c r="N112" s="36" t="str">
        <x:v>LOCAL</x:v>
      </x:c>
      <x:c r="O112" s="36" t="n">
        <x:v>45</x:v>
      </x:c>
      <x:c r="P112" s="36" t="str">
        <x:v>NORMAL</x:v>
      </x:c>
      <x:c r="Q112" s="36" t="str">
        <x:v>ANY</x:v>
      </x:c>
      <x:c r="R112" s="36" t="str">
        <x:v>DIAG_SET</x:v>
      </x:c>
      <x:c r="S112" s="49" t="n">
        <x:v>46251.291666666664</x:v>
      </x:c>
      <x:c r="T112" s="37" t="b">
        <x:v>0</x:v>
      </x:c>
      <x:c r="U112" s="36" t="str">
        <x:v>PENDING</x:v>
      </x:c>
      <x:c r="V112" s="36"/>
      <x:c r="W112" s="36"/>
      <x:c r="X112" s="36" t="str">
        <x:v>needs_geocoding</x:v>
      </x:c>
    </x:row>
    <x:row r="113" ht="15" hidden="0" customHeight="1">
      <x:c r="A113" s="36" t="str">
        <x:v>CORE</x:v>
      </x:c>
      <x:c r="B113" s="36" t="str">
        <x:v>SOUTHEAST-37590</x:v>
      </x:c>
      <x:c r="C113" s="36" t="str">
        <x:v>37590</x:v>
      </x:c>
      <x:c r="D113" s="36" t="str">
        <x:v>SOUTHEAST</x:v>
      </x:c>
      <x:c r="E113" s="36" t="str">
        <x:v>Юго-восток</x:v>
      </x:c>
      <x:c r="F113" s="36" t="str">
        <x:v>Локальная заявка</x:v>
      </x:c>
      <x:c r="G113" s="36" t="str">
        <x:v>Нет линка</x:v>
      </x:c>
      <x:c r="H113" s="49" t="n">
        <x:v>46251.833333333336</x:v>
      </x:c>
      <x:c r="I113" s="49" t="n">
        <x:v>46251.916666666664</x:v>
      </x:c>
      <x:c r="J113" s="36" t="str">
        <x:v>Бирюлево Западное</x:v>
      </x:c>
      <x:c r="K113" s="36" t="str">
        <x:v>Город Москва, проезд.Востряковский, д. 15 к 2</x:v>
      </x:c>
      <x:c r="L113" s="36" t="str"/>
      <x:c r="M113" s="36" t="str">
        <x:v>Нет</x:v>
      </x:c>
      <x:c r="N113" s="36" t="str">
        <x:v>LOCAL</x:v>
      </x:c>
      <x:c r="O113" s="36" t="n">
        <x:v>45</x:v>
      </x:c>
      <x:c r="P113" s="36" t="str">
        <x:v>NORMAL</x:v>
      </x:c>
      <x:c r="Q113" s="36" t="str">
        <x:v>ANY</x:v>
      </x:c>
      <x:c r="R113" s="36" t="str">
        <x:v>DIAG_SET</x:v>
      </x:c>
      <x:c r="S113" s="49" t="n">
        <x:v>46251.291666666664</x:v>
      </x:c>
      <x:c r="T113" s="37" t="b">
        <x:v>0</x:v>
      </x:c>
      <x:c r="U113" s="36" t="str">
        <x:v>PENDING</x:v>
      </x:c>
      <x:c r="V113" s="36"/>
      <x:c r="W113" s="36"/>
      <x:c r="X113" s="36" t="str">
        <x:v>needs_geocoding</x:v>
      </x:c>
    </x:row>
    <x:row r="114" ht="15" hidden="0" customHeight="1">
      <x:c r="A114" s="36" t="str">
        <x:v>CORE</x:v>
      </x:c>
      <x:c r="B114" s="36" t="str">
        <x:v>SOUTHEAST-33507</x:v>
      </x:c>
      <x:c r="C114" s="36" t="str">
        <x:v>33507</x:v>
      </x:c>
      <x:c r="D114" s="36" t="str">
        <x:v>SOUTHEAST</x:v>
      </x:c>
      <x:c r="E114" s="36" t="str">
        <x:v>Юго-восток</x:v>
      </x:c>
      <x:c r="F114" s="36" t="str">
        <x:v>Локальная заявка</x:v>
      </x:c>
      <x:c r="G114" s="36" t="str">
        <x:v>Нет линка</x:v>
      </x:c>
      <x:c r="H114" s="49" t="n">
        <x:v>46251.75</x:v>
      </x:c>
      <x:c r="I114" s="49" t="n">
        <x:v>46251.833333333336</x:v>
      </x:c>
      <x:c r="J114" s="36" t="str">
        <x:v>Бирюлево Восточное</x:v>
      </x:c>
      <x:c r="K114" s="36" t="str">
        <x:v>Город Москва, ул.Бирюлёвская, д. 58 к 3</x:v>
      </x:c>
      <x:c r="L114" s="36" t="str"/>
      <x:c r="M114" s="36" t="str">
        <x:v>Нет</x:v>
      </x:c>
      <x:c r="N114" s="36" t="str">
        <x:v>LOCAL</x:v>
      </x:c>
      <x:c r="O114" s="36" t="n">
        <x:v>45</x:v>
      </x:c>
      <x:c r="P114" s="36" t="str">
        <x:v>NORMAL</x:v>
      </x:c>
      <x:c r="Q114" s="36" t="str">
        <x:v>ANY</x:v>
      </x:c>
      <x:c r="R114" s="36" t="str">
        <x:v>DIAG_SET</x:v>
      </x:c>
      <x:c r="S114" s="49" t="n">
        <x:v>46251.291666666664</x:v>
      </x:c>
      <x:c r="T114" s="37" t="b">
        <x:v>0</x:v>
      </x:c>
      <x:c r="U114" s="36" t="str">
        <x:v>PENDING</x:v>
      </x:c>
      <x:c r="V114" s="36"/>
      <x:c r="W114" s="36"/>
      <x:c r="X114" s="36" t="str">
        <x:v>needs_geocoding</x:v>
      </x:c>
    </x:row>
    <x:row r="115" ht="15" hidden="0" customHeight="1">
      <x:c r="A115" s="36" t="str">
        <x:v>CORE</x:v>
      </x:c>
      <x:c r="B115" s="36" t="str">
        <x:v>SOUTHEAST-88209</x:v>
      </x:c>
      <x:c r="C115" s="36" t="str">
        <x:v>88209</x:v>
      </x:c>
      <x:c r="D115" s="36" t="str">
        <x:v>SOUTHEAST</x:v>
      </x:c>
      <x:c r="E115" s="36" t="str">
        <x:v>Юго-восток</x:v>
      </x:c>
      <x:c r="F115" s="36" t="str">
        <x:v>Локальная заявка</x:v>
      </x:c>
      <x:c r="G115" s="36" t="str">
        <x:v>Низкая скорость</x:v>
      </x:c>
      <x:c r="H115" s="49" t="n">
        <x:v>46251.5</x:v>
      </x:c>
      <x:c r="I115" s="49" t="n">
        <x:v>46251.583333333336</x:v>
      </x:c>
      <x:c r="J115" s="36" t="str">
        <x:v>Орехово Борисово Южное</x:v>
      </x:c>
      <x:c r="K115" s="36" t="str">
        <x:v>Город Москва, ул.Домодедовская, д. 31</x:v>
      </x:c>
      <x:c r="L115" s="36" t="str"/>
      <x:c r="M115" s="36" t="str">
        <x:v>Нет</x:v>
      </x:c>
      <x:c r="N115" s="36" t="str">
        <x:v>LOCAL</x:v>
      </x:c>
      <x:c r="O115" s="36" t="n">
        <x:v>45</x:v>
      </x:c>
      <x:c r="P115" s="36" t="str">
        <x:v>NORMAL</x:v>
      </x:c>
      <x:c r="Q115" s="36" t="str">
        <x:v>CAR</x:v>
      </x:c>
      <x:c r="R115" s="36" t="str">
        <x:v>DIAG_SET</x:v>
      </x:c>
      <x:c r="S115" s="49" t="n">
        <x:v>46251.291666666664</x:v>
      </x:c>
      <x:c r="T115" s="37" t="b">
        <x:v>0</x:v>
      </x:c>
      <x:c r="U115" s="36" t="str">
        <x:v>PENDING</x:v>
      </x:c>
      <x:c r="V115" s="36"/>
      <x:c r="W115" s="36"/>
      <x:c r="X115" s="36" t="str">
        <x:v>needs_geocoding</x:v>
      </x:c>
    </x:row>
    <x:row r="116" ht="15" hidden="0" customHeight="1">
      <x:c r="A116" s="36" t="str">
        <x:v>CORE</x:v>
      </x:c>
      <x:c r="B116" s="36" t="str">
        <x:v>SOUTHEAST-24482</x:v>
      </x:c>
      <x:c r="C116" s="36" t="str">
        <x:v>24482</x:v>
      </x:c>
      <x:c r="D116" s="36" t="str">
        <x:v>SOUTHEAST</x:v>
      </x:c>
      <x:c r="E116" s="36" t="str">
        <x:v>Юго-восток</x:v>
      </x:c>
      <x:c r="F116" s="36" t="str">
        <x:v>Локальная заявка</x:v>
      </x:c>
      <x:c r="G116" s="36" t="str">
        <x:v>Рост ошибок на порту</x:v>
      </x:c>
      <x:c r="H116" s="49" t="n">
        <x:v>46251.833333333336</x:v>
      </x:c>
      <x:c r="I116" s="49" t="n">
        <x:v>46251.916666666664</x:v>
      </x:c>
      <x:c r="J116" s="36" t="str">
        <x:v>Царицыно</x:v>
      </x:c>
      <x:c r="K116" s="36" t="str">
        <x:v>Город Москва, ул.Весёлая, д. 33 к 7</x:v>
      </x:c>
      <x:c r="L116" s="36" t="str"/>
      <x:c r="M116" s="36" t="str">
        <x:v>Нет</x:v>
      </x:c>
      <x:c r="N116" s="36" t="str">
        <x:v>LOCAL</x:v>
      </x:c>
      <x:c r="O116" s="36" t="n">
        <x:v>45</x:v>
      </x:c>
      <x:c r="P116" s="36" t="str">
        <x:v>NORMAL</x:v>
      </x:c>
      <x:c r="Q116" s="36" t="str">
        <x:v>ANY</x:v>
      </x:c>
      <x:c r="R116" s="36" t="str">
        <x:v>DIAG_SET</x:v>
      </x:c>
      <x:c r="S116" s="49" t="n">
        <x:v>46251.291666666664</x:v>
      </x:c>
      <x:c r="T116" s="37" t="b">
        <x:v>0</x:v>
      </x:c>
      <x:c r="U116" s="36" t="str">
        <x:v>PENDING</x:v>
      </x:c>
      <x:c r="V116" s="36"/>
      <x:c r="W116" s="36"/>
      <x:c r="X116" s="36" t="str">
        <x:v>needs_geocoding</x:v>
      </x:c>
    </x:row>
    <x:row r="117" ht="15" hidden="0" customHeight="1">
      <x:c r="A117" s="36" t="str">
        <x:v>CORE</x:v>
      </x:c>
      <x:c r="B117" s="36" t="str">
        <x:v>SOUTHEAST-40111</x:v>
      </x:c>
      <x:c r="C117" s="36" t="str">
        <x:v>40111</x:v>
      </x:c>
      <x:c r="D117" s="36" t="str">
        <x:v>SOUTHEAST</x:v>
      </x:c>
      <x:c r="E117" s="36" t="str">
        <x:v>Юго-восток</x:v>
      </x:c>
      <x:c r="F117" s="36" t="str">
        <x:v>Локальная заявка</x:v>
      </x:c>
      <x:c r="G117" s="36" t="str">
        <x:v>Работа с кабелем</x:v>
      </x:c>
      <x:c r="H117" s="49" t="n">
        <x:v>46251.416666666664</x:v>
      </x:c>
      <x:c r="I117" s="49" t="n">
        <x:v>46251.5</x:v>
      </x:c>
      <x:c r="J117" s="36" t="str">
        <x:v>Ступино</x:v>
      </x:c>
      <x:c r="K117" s="36" t="str">
        <x:v>Ступино, ул.Калинина, д. 34</x:v>
      </x:c>
      <x:c r="L117" s="36" t="str"/>
      <x:c r="M117" s="36" t="str">
        <x:v>Нет</x:v>
      </x:c>
      <x:c r="N117" s="36" t="str">
        <x:v>LOCAL</x:v>
      </x:c>
      <x:c r="O117" s="36" t="n">
        <x:v>75</x:v>
      </x:c>
      <x:c r="P117" s="36" t="str">
        <x:v>NORMAL</x:v>
      </x:c>
      <x:c r="Q117" s="36" t="str">
        <x:v>CAR</x:v>
      </x:c>
      <x:c r="R117" s="36" t="str">
        <x:v>DIAG_SET|CABLE_SET|CABLE_PACK</x:v>
      </x:c>
      <x:c r="S117" s="49" t="n">
        <x:v>46251.291666666664</x:v>
      </x:c>
      <x:c r="T117" s="37" t="b">
        <x:v>0</x:v>
      </x:c>
      <x:c r="U117" s="36" t="str">
        <x:v>PENDING</x:v>
      </x:c>
      <x:c r="V117" s="36"/>
      <x:c r="W117" s="36"/>
      <x:c r="X117" s="36" t="str">
        <x:v>needs_geocoding</x:v>
      </x:c>
    </x:row>
    <x:row r="118" ht="15" hidden="0" customHeight="1">
      <x:c r="A118" s="36" t="str">
        <x:v>CORE</x:v>
      </x:c>
      <x:c r="B118" s="36" t="str">
        <x:v>SOUTHEAST-46199</x:v>
      </x:c>
      <x:c r="C118" s="36" t="str">
        <x:v>46199</x:v>
      </x:c>
      <x:c r="D118" s="36" t="str">
        <x:v>SOUTHEAST</x:v>
      </x:c>
      <x:c r="E118" s="36" t="str">
        <x:v>Юго-восток</x:v>
      </x:c>
      <x:c r="F118" s="36" t="str">
        <x:v>Локальная заявка</x:v>
      </x:c>
      <x:c r="G118" s="36" t="str">
        <x:v>Нет линка</x:v>
      </x:c>
      <x:c r="H118" s="49" t="n">
        <x:v>46251.5</x:v>
      </x:c>
      <x:c r="I118" s="49" t="n">
        <x:v>46251.583333333336</x:v>
      </x:c>
      <x:c r="J118" s="36" t="str">
        <x:v>Домодедово</x:v>
      </x:c>
      <x:c r="K118" s="36" t="str">
        <x:v>Домодедово, ул.Ильюшина, д. 11 к 2</x:v>
      </x:c>
      <x:c r="L118" s="36" t="str"/>
      <x:c r="M118" s="36" t="str">
        <x:v>Нет</x:v>
      </x:c>
      <x:c r="N118" s="36" t="str">
        <x:v>LOCAL</x:v>
      </x:c>
      <x:c r="O118" s="36" t="n">
        <x:v>45</x:v>
      </x:c>
      <x:c r="P118" s="36" t="str">
        <x:v>NORMAL</x:v>
      </x:c>
      <x:c r="Q118" s="36" t="str">
        <x:v>CAR</x:v>
      </x:c>
      <x:c r="R118" s="36" t="str">
        <x:v>DIAG_SET</x:v>
      </x:c>
      <x:c r="S118" s="49" t="n">
        <x:v>46251.291666666664</x:v>
      </x:c>
      <x:c r="T118" s="37" t="b">
        <x:v>0</x:v>
      </x:c>
      <x:c r="U118" s="36" t="str">
        <x:v>PENDING</x:v>
      </x:c>
      <x:c r="V118" s="36"/>
      <x:c r="W118" s="36"/>
      <x:c r="X118" s="36" t="str">
        <x:v>needs_geocoding</x:v>
      </x:c>
    </x:row>
    <x:row r="119" ht="15" hidden="0" customHeight="1">
      <x:c r="A119" s="36" t="str">
        <x:v>CORE</x:v>
      </x:c>
      <x:c r="B119" s="36" t="str">
        <x:v>SOUTHEAST-75282</x:v>
      </x:c>
      <x:c r="C119" s="36" t="str">
        <x:v>75282</x:v>
      </x:c>
      <x:c r="D119" s="36" t="str">
        <x:v>SOUTHEAST</x:v>
      </x:c>
      <x:c r="E119" s="36" t="str">
        <x:v>Юго-восток</x:v>
      </x:c>
      <x:c r="F119" s="36" t="str">
        <x:v>Локальная заявка</x:v>
      </x:c>
      <x:c r="G119" s="36" t="str">
        <x:v>Роутер. Замена техническим специалистом</x:v>
      </x:c>
      <x:c r="H119" s="49" t="n">
        <x:v>46251.666666666664</x:v>
      </x:c>
      <x:c r="I119" s="49" t="n">
        <x:v>46251.75</x:v>
      </x:c>
      <x:c r="J119" s="36" t="str">
        <x:v>Бирюлево Западное</x:v>
      </x:c>
      <x:c r="K119" s="36" t="str">
        <x:v>Город Москва, проезд.Востряковский, д. 15 к 4</x:v>
      </x:c>
      <x:c r="L119" s="36" t="str"/>
      <x:c r="M119" s="36" t="str">
        <x:v>Нет</x:v>
      </x:c>
      <x:c r="N119" s="36" t="str">
        <x:v>LOCAL</x:v>
      </x:c>
      <x:c r="O119" s="36" t="n">
        <x:v>45</x:v>
      </x:c>
      <x:c r="P119" s="36" t="str">
        <x:v>NORMAL</x:v>
      </x:c>
      <x:c r="Q119" s="36" t="str">
        <x:v>ANY</x:v>
      </x:c>
      <x:c r="R119" s="36" t="str">
        <x:v>DIAG_SET|ROUTER</x:v>
      </x:c>
      <x:c r="S119" s="49" t="n">
        <x:v>46251.291666666664</x:v>
      </x:c>
      <x:c r="T119" s="37" t="b">
        <x:v>0</x:v>
      </x:c>
      <x:c r="U119" s="36" t="str">
        <x:v>PENDING</x:v>
      </x:c>
      <x:c r="V119" s="36"/>
      <x:c r="W119" s="36"/>
      <x:c r="X119" s="36" t="str">
        <x:v>needs_geocoding</x:v>
      </x:c>
    </x:row>
    <x:row r="120" ht="15" hidden="0" customHeight="1">
      <x:c r="A120" s="36" t="str">
        <x:v>CORE</x:v>
      </x:c>
      <x:c r="B120" s="36" t="str">
        <x:v>SOUTHEAST-63577</x:v>
      </x:c>
      <x:c r="C120" s="36" t="str">
        <x:v>63577</x:v>
      </x:c>
      <x:c r="D120" s="36" t="str">
        <x:v>SOUTHEAST</x:v>
      </x:c>
      <x:c r="E120" s="36" t="str">
        <x:v>Юго-восток</x:v>
      </x:c>
      <x:c r="F120" s="36" t="str">
        <x:v>Локальная заявка</x:v>
      </x:c>
      <x:c r="G120" s="36" t="str">
        <x:v>Нет линка</x:v>
      </x:c>
      <x:c r="H120" s="49" t="n">
        <x:v>46251.416666666664</x:v>
      </x:c>
      <x:c r="I120" s="49" t="n">
        <x:v>46251.5</x:v>
      </x:c>
      <x:c r="J120" s="36" t="str">
        <x:v>Домодедово</x:v>
      </x:c>
      <x:c r="K120" s="36" t="str">
        <x:v>Домодедово, ул.Корнеева, д. 48</x:v>
      </x:c>
      <x:c r="L120" s="36" t="str"/>
      <x:c r="M120" s="36" t="str">
        <x:v>Нет</x:v>
      </x:c>
      <x:c r="N120" s="36" t="str">
        <x:v>LOCAL</x:v>
      </x:c>
      <x:c r="O120" s="36" t="n">
        <x:v>45</x:v>
      </x:c>
      <x:c r="P120" s="36" t="str">
        <x:v>NORMAL</x:v>
      </x:c>
      <x:c r="Q120" s="36" t="str">
        <x:v>CAR</x:v>
      </x:c>
      <x:c r="R120" s="36" t="str">
        <x:v>DIAG_SET</x:v>
      </x:c>
      <x:c r="S120" s="49" t="n">
        <x:v>46251.291666666664</x:v>
      </x:c>
      <x:c r="T120" s="37" t="b">
        <x:v>0</x:v>
      </x:c>
      <x:c r="U120" s="36" t="str">
        <x:v>PENDING</x:v>
      </x:c>
      <x:c r="V120" s="36"/>
      <x:c r="W120" s="36"/>
      <x:c r="X120" s="36" t="str">
        <x:v>needs_geocoding</x:v>
      </x:c>
    </x:row>
    <x:row r="121" ht="15" hidden="0" customHeight="1">
      <x:c r="A121" s="36" t="str">
        <x:v>CORE</x:v>
      </x:c>
      <x:c r="B121" s="36" t="str">
        <x:v>SOUTHEAST-7610</x:v>
      </x:c>
      <x:c r="C121" s="36" t="str">
        <x:v>7610</x:v>
      </x:c>
      <x:c r="D121" s="36" t="str">
        <x:v>SOUTHEAST</x:v>
      </x:c>
      <x:c r="E121" s="36" t="str">
        <x:v>Юго-восток</x:v>
      </x:c>
      <x:c r="F121" s="36" t="str">
        <x:v>Локальная заявка</x:v>
      </x:c>
      <x:c r="G121" s="36" t="str">
        <x:v>Переключение на Гбит/с</x:v>
      </x:c>
      <x:c r="H121" s="49" t="n">
        <x:v>46251.75</x:v>
      </x:c>
      <x:c r="I121" s="49" t="n">
        <x:v>46251.833333333336</x:v>
      </x:c>
      <x:c r="J121" s="36" t="str">
        <x:v>Царицыно</x:v>
      </x:c>
      <x:c r="K121" s="36" t="str">
        <x:v>Город Москва, ул.Луганская, д. 4 к 1</x:v>
      </x:c>
      <x:c r="L121" s="36" t="str"/>
      <x:c r="M121" s="36" t="str">
        <x:v>Нет</x:v>
      </x:c>
      <x:c r="N121" s="36" t="str">
        <x:v>LOCAL</x:v>
      </x:c>
      <x:c r="O121" s="36" t="n">
        <x:v>60</x:v>
      </x:c>
      <x:c r="P121" s="36" t="str">
        <x:v>NORMAL</x:v>
      </x:c>
      <x:c r="Q121" s="36" t="str">
        <x:v>ANY</x:v>
      </x:c>
      <x:c r="R121" s="36" t="str">
        <x:v>DIAG_SET|INSTALL_SET</x:v>
      </x:c>
      <x:c r="S121" s="49" t="n">
        <x:v>46251.291666666664</x:v>
      </x:c>
      <x:c r="T121" s="37" t="b">
        <x:v>0</x:v>
      </x:c>
      <x:c r="U121" s="36" t="str">
        <x:v>PENDING</x:v>
      </x:c>
      <x:c r="V121" s="36"/>
      <x:c r="W121" s="36"/>
      <x:c r="X121" s="36" t="str">
        <x:v>needs_geocoding</x:v>
      </x:c>
    </x:row>
    <x:row r="122" ht="15" hidden="0" customHeight="1">
      <x:c r="A122" s="36" t="str">
        <x:v>CORE</x:v>
      </x:c>
      <x:c r="B122" s="36" t="str">
        <x:v>SOUTHEAST-19216</x:v>
      </x:c>
      <x:c r="C122" s="36" t="str">
        <x:v>19216</x:v>
      </x:c>
      <x:c r="D122" s="36" t="str">
        <x:v>SOUTHEAST</x:v>
      </x:c>
      <x:c r="E122" s="36" t="str">
        <x:v>Юго-восток</x:v>
      </x:c>
      <x:c r="F122" s="36" t="str">
        <x:v>Локальная заявка</x:v>
      </x:c>
      <x:c r="G122" s="36" t="str">
        <x:v>TVE/ENT. Замена приставки техником</x:v>
      </x:c>
      <x:c r="H122" s="49" t="n">
        <x:v>46251.5</x:v>
      </x:c>
      <x:c r="I122" s="49" t="n">
        <x:v>46251.583333333336</x:v>
      </x:c>
      <x:c r="J122" s="36" t="str">
        <x:v>Царицыно</x:v>
      </x:c>
      <x:c r="K122" s="36" t="str">
        <x:v>Город Москва, ул.Луганская, д. 3 к 1</x:v>
      </x:c>
      <x:c r="L122" s="36" t="str"/>
      <x:c r="M122" s="36" t="str">
        <x:v>Нет</x:v>
      </x:c>
      <x:c r="N122" s="36" t="str">
        <x:v>LOCAL</x:v>
      </x:c>
      <x:c r="O122" s="36" t="n">
        <x:v>45</x:v>
      </x:c>
      <x:c r="P122" s="36" t="str">
        <x:v>NORMAL</x:v>
      </x:c>
      <x:c r="Q122" s="36" t="str">
        <x:v>ANY</x:v>
      </x:c>
      <x:c r="R122" s="36" t="str">
        <x:v>DIAG_SET|TV_BOX</x:v>
      </x:c>
      <x:c r="S122" s="49" t="n">
        <x:v>46251.291666666664</x:v>
      </x:c>
      <x:c r="T122" s="37" t="b">
        <x:v>0</x:v>
      </x:c>
      <x:c r="U122" s="36" t="str">
        <x:v>PENDING</x:v>
      </x:c>
      <x:c r="V122" s="36"/>
      <x:c r="W122" s="36"/>
      <x:c r="X122" s="36" t="str">
        <x:v>needs_geocoding</x:v>
      </x:c>
    </x:row>
    <x:row r="123" ht="15" hidden="0" customHeight="1">
      <x:c r="A123" s="36" t="str">
        <x:v>CORE</x:v>
      </x:c>
      <x:c r="B123" s="36" t="str">
        <x:v>SOUTHEAST-11872</x:v>
      </x:c>
      <x:c r="C123" s="36" t="str">
        <x:v>11872</x:v>
      </x:c>
      <x:c r="D123" s="36" t="str">
        <x:v>SOUTHEAST</x:v>
      </x:c>
      <x:c r="E123" s="36" t="str">
        <x:v>Юго-восток</x:v>
      </x:c>
      <x:c r="F123" s="36" t="str">
        <x:v>Локальная заявка</x:v>
      </x:c>
      <x:c r="G123" s="36" t="str">
        <x:v>Рост ошибок на порту</x:v>
      </x:c>
      <x:c r="H123" s="49" t="n">
        <x:v>46251.583333333336</x:v>
      </x:c>
      <x:c r="I123" s="49" t="n">
        <x:v>46251.666666666664</x:v>
      </x:c>
      <x:c r="J123" s="36" t="str">
        <x:v>Царицыно</x:v>
      </x:c>
      <x:c r="K123" s="36" t="str">
        <x:v>Город Москва, ул.Весёлая, д. 33 к 7</x:v>
      </x:c>
      <x:c r="L123" s="36" t="str"/>
      <x:c r="M123" s="36" t="str">
        <x:v>Нет</x:v>
      </x:c>
      <x:c r="N123" s="36" t="str">
        <x:v>LOCAL</x:v>
      </x:c>
      <x:c r="O123" s="36" t="n">
        <x:v>45</x:v>
      </x:c>
      <x:c r="P123" s="36" t="str">
        <x:v>NORMAL</x:v>
      </x:c>
      <x:c r="Q123" s="36" t="str">
        <x:v>ANY</x:v>
      </x:c>
      <x:c r="R123" s="36" t="str">
        <x:v>DIAG_SET</x:v>
      </x:c>
      <x:c r="S123" s="49" t="n">
        <x:v>46251.291666666664</x:v>
      </x:c>
      <x:c r="T123" s="37" t="b">
        <x:v>0</x:v>
      </x:c>
      <x:c r="U123" s="36" t="str">
        <x:v>PENDING</x:v>
      </x:c>
      <x:c r="V123" s="36"/>
      <x:c r="W123" s="36"/>
      <x:c r="X123" s="36" t="str">
        <x:v>needs_geocoding</x:v>
      </x:c>
    </x:row>
    <x:row r="124" ht="15" hidden="0" customHeight="1">
      <x:c r="A124" s="36" t="str">
        <x:v>CORE</x:v>
      </x:c>
      <x:c r="B124" s="36" t="str">
        <x:v>SOUTHEAST-54422</x:v>
      </x:c>
      <x:c r="C124" s="36" t="str">
        <x:v>54422</x:v>
      </x:c>
      <x:c r="D124" s="36" t="str">
        <x:v>SOUTHEAST</x:v>
      </x:c>
      <x:c r="E124" s="36" t="str">
        <x:v>Юго-восток</x:v>
      </x:c>
      <x:c r="F124" s="36" t="str">
        <x:v>Локальная заявка</x:v>
      </x:c>
      <x:c r="G124" s="36" t="str">
        <x:v>IP-адрес 169...</x:v>
      </x:c>
      <x:c r="H124" s="49" t="n">
        <x:v>46251.666666666664</x:v>
      </x:c>
      <x:c r="I124" s="49" t="n">
        <x:v>46251.75</x:v>
      </x:c>
      <x:c r="J124" s="36" t="str">
        <x:v>Царицыно</x:v>
      </x:c>
      <x:c r="K124" s="36" t="str">
        <x:v>Город Москва, ул.Луганская, д. 1</x:v>
      </x:c>
      <x:c r="L124" s="36" t="str"/>
      <x:c r="M124" s="36" t="str">
        <x:v>Нет</x:v>
      </x:c>
      <x:c r="N124" s="36" t="str">
        <x:v>LOCAL</x:v>
      </x:c>
      <x:c r="O124" s="36" t="n">
        <x:v>40</x:v>
      </x:c>
      <x:c r="P124" s="36" t="str">
        <x:v>NORMAL</x:v>
      </x:c>
      <x:c r="Q124" s="36" t="str">
        <x:v>ANY</x:v>
      </x:c>
      <x:c r="R124" s="36" t="str">
        <x:v>DIAG_SET</x:v>
      </x:c>
      <x:c r="S124" s="49" t="n">
        <x:v>46251.291666666664</x:v>
      </x:c>
      <x:c r="T124" s="37" t="b">
        <x:v>0</x:v>
      </x:c>
      <x:c r="U124" s="36" t="str">
        <x:v>PENDING</x:v>
      </x:c>
      <x:c r="V124" s="36"/>
      <x:c r="W124" s="36"/>
      <x:c r="X124" s="36" t="str">
        <x:v>needs_geocoding</x:v>
      </x:c>
    </x:row>
    <x:row r="125" ht="15" hidden="0" customHeight="1">
      <x:c r="A125" s="36" t="str">
        <x:v>CORE</x:v>
      </x:c>
      <x:c r="B125" s="36" t="str">
        <x:v>SOUTHEAST-4724</x:v>
      </x:c>
      <x:c r="C125" s="36" t="str">
        <x:v>4724</x:v>
      </x:c>
      <x:c r="D125" s="36" t="str">
        <x:v>SOUTHEAST</x:v>
      </x:c>
      <x:c r="E125" s="36" t="str">
        <x:v>Юго-восток</x:v>
      </x:c>
      <x:c r="F125" s="36" t="str">
        <x:v>Локальная заявка</x:v>
      </x:c>
      <x:c r="G125" s="36" t="str">
        <x:v>Низкая скорость</x:v>
      </x:c>
      <x:c r="H125" s="49" t="n">
        <x:v>46251.75</x:v>
      </x:c>
      <x:c r="I125" s="49" t="n">
        <x:v>46251.833333333336</x:v>
      </x:c>
      <x:c r="J125" s="36" t="str">
        <x:v>Царицыно</x:v>
      </x:c>
      <x:c r="K125" s="36" t="str">
        <x:v>Город Москва, ул.Кантемировская, д. 5 к 2</x:v>
      </x:c>
      <x:c r="L125" s="36" t="str"/>
      <x:c r="M125" s="36" t="str">
        <x:v>Нет</x:v>
      </x:c>
      <x:c r="N125" s="36" t="str">
        <x:v>LOCAL</x:v>
      </x:c>
      <x:c r="O125" s="36" t="n">
        <x:v>45</x:v>
      </x:c>
      <x:c r="P125" s="36" t="str">
        <x:v>NORMAL</x:v>
      </x:c>
      <x:c r="Q125" s="36" t="str">
        <x:v>ANY</x:v>
      </x:c>
      <x:c r="R125" s="36" t="str">
        <x:v>DIAG_SET</x:v>
      </x:c>
      <x:c r="S125" s="49" t="n">
        <x:v>46251.291666666664</x:v>
      </x:c>
      <x:c r="T125" s="37" t="b">
        <x:v>0</x:v>
      </x:c>
      <x:c r="U125" s="36" t="str">
        <x:v>PENDING</x:v>
      </x:c>
      <x:c r="V125" s="36"/>
      <x:c r="W125" s="36"/>
      <x:c r="X125" s="36" t="str">
        <x:v>needs_geocoding</x:v>
      </x:c>
    </x:row>
    <x:row r="126" ht="15" hidden="0" customHeight="1">
      <x:c r="A126" s="36" t="str">
        <x:v>CORE</x:v>
      </x:c>
      <x:c r="B126" s="36" t="str">
        <x:v>SOUTHEAST-11899</x:v>
      </x:c>
      <x:c r="C126" s="36" t="str">
        <x:v>11899</x:v>
      </x:c>
      <x:c r="D126" s="36" t="str">
        <x:v>SOUTHEAST</x:v>
      </x:c>
      <x:c r="E126" s="36" t="str">
        <x:v>Юго-восток</x:v>
      </x:c>
      <x:c r="F126" s="36" t="str">
        <x:v>Локальная заявка</x:v>
      </x:c>
      <x:c r="G126" s="36" t="str">
        <x:v>Низкая скорость</x:v>
      </x:c>
      <x:c r="H126" s="49" t="n">
        <x:v>46251.416666666664</x:v>
      </x:c>
      <x:c r="I126" s="49" t="n">
        <x:v>46251.5</x:v>
      </x:c>
      <x:c r="J126" s="36" t="str">
        <x:v>Бирюлево Восточное</x:v>
      </x:c>
      <x:c r="K126" s="36" t="str">
        <x:v>Город Москва, проезд.Загорьевский, д. 7 к 2</x:v>
      </x:c>
      <x:c r="L126" s="36" t="str"/>
      <x:c r="M126" s="36" t="str">
        <x:v>Нет</x:v>
      </x:c>
      <x:c r="N126" s="36" t="str">
        <x:v>LOCAL</x:v>
      </x:c>
      <x:c r="O126" s="36" t="n">
        <x:v>45</x:v>
      </x:c>
      <x:c r="P126" s="36" t="str">
        <x:v>NORMAL</x:v>
      </x:c>
      <x:c r="Q126" s="36" t="str">
        <x:v>ANY</x:v>
      </x:c>
      <x:c r="R126" s="36" t="str">
        <x:v>DIAG_SET</x:v>
      </x:c>
      <x:c r="S126" s="49" t="n">
        <x:v>46251.291666666664</x:v>
      </x:c>
      <x:c r="T126" s="37" t="b">
        <x:v>0</x:v>
      </x:c>
      <x:c r="U126" s="36" t="str">
        <x:v>PENDING</x:v>
      </x:c>
      <x:c r="V126" s="36"/>
      <x:c r="W126" s="36"/>
      <x:c r="X126" s="36" t="str">
        <x:v>needs_geocoding</x:v>
      </x:c>
    </x:row>
    <x:row r="127" ht="15" hidden="0" customHeight="1">
      <x:c r="A127" s="36" t="str">
        <x:v>CORE</x:v>
      </x:c>
      <x:c r="B127" s="36" t="str">
        <x:v>SOUTHEAST-60886</x:v>
      </x:c>
      <x:c r="C127" s="36" t="str">
        <x:v>60886</x:v>
      </x:c>
      <x:c r="D127" s="36" t="str">
        <x:v>SOUTHEAST</x:v>
      </x:c>
      <x:c r="E127" s="36" t="str">
        <x:v>Юго-восток</x:v>
      </x:c>
      <x:c r="F127" s="36" t="str">
        <x:v>Локальная заявка</x:v>
      </x:c>
      <x:c r="G127" s="36" t="str">
        <x:v>Переключение на Гбит/с</x:v>
      </x:c>
      <x:c r="H127" s="49" t="n">
        <x:v>46251.666666666664</x:v>
      </x:c>
      <x:c r="I127" s="49" t="n">
        <x:v>46251.75</x:v>
      </x:c>
      <x:c r="J127" s="36" t="str">
        <x:v>Орехово Борисово Северное</x:v>
      </x:c>
      <x:c r="K127" s="36" t="str">
        <x:v>Город Москва, ул.Маршала Захарова, д. 18 к 1</x:v>
      </x:c>
      <x:c r="L127" s="36" t="str"/>
      <x:c r="M127" s="36" t="str">
        <x:v>Нет</x:v>
      </x:c>
      <x:c r="N127" s="36" t="str">
        <x:v>LOCAL</x:v>
      </x:c>
      <x:c r="O127" s="36" t="n">
        <x:v>60</x:v>
      </x:c>
      <x:c r="P127" s="36" t="str">
        <x:v>NORMAL</x:v>
      </x:c>
      <x:c r="Q127" s="36" t="str">
        <x:v>ANY</x:v>
      </x:c>
      <x:c r="R127" s="36" t="str">
        <x:v>DIAG_SET|INSTALL_SET</x:v>
      </x:c>
      <x:c r="S127" s="49" t="n">
        <x:v>46251.291666666664</x:v>
      </x:c>
      <x:c r="T127" s="37" t="b">
        <x:v>0</x:v>
      </x:c>
      <x:c r="U127" s="36" t="str">
        <x:v>PENDING</x:v>
      </x:c>
      <x:c r="V127" s="36"/>
      <x:c r="W127" s="36"/>
      <x:c r="X127" s="36" t="str">
        <x:v>needs_geocoding</x:v>
      </x:c>
    </x:row>
    <x:row r="128" ht="15" hidden="0" customHeight="1">
      <x:c r="A128" s="36" t="str">
        <x:v>CORE</x:v>
      </x:c>
      <x:c r="B128" s="36" t="str">
        <x:v>SOUTHEAST-32066</x:v>
      </x:c>
      <x:c r="C128" s="36" t="str">
        <x:v>32066</x:v>
      </x:c>
      <x:c r="D128" s="36" t="str">
        <x:v>SOUTHEAST</x:v>
      </x:c>
      <x:c r="E128" s="36" t="str">
        <x:v>Юго-восток</x:v>
      </x:c>
      <x:c r="F128" s="36" t="str">
        <x:v>Локальная заявка</x:v>
      </x:c>
      <x:c r="G128" s="36" t="str">
        <x:v>Нет линка</x:v>
      </x:c>
      <x:c r="H128" s="49" t="n">
        <x:v>46251.583333333336</x:v>
      </x:c>
      <x:c r="I128" s="49" t="n">
        <x:v>46251.666666666664</x:v>
      </x:c>
      <x:c r="J128" s="36" t="str">
        <x:v>Орехово Борисово Южное</x:v>
      </x:c>
      <x:c r="K128" s="36" t="str">
        <x:v>Город Москва, ул.Генерала Белова, д. 45 к 2</x:v>
      </x:c>
      <x:c r="L128" s="36" t="str"/>
      <x:c r="M128" s="36" t="str">
        <x:v>Нет</x:v>
      </x:c>
      <x:c r="N128" s="36" t="str">
        <x:v>LOCAL</x:v>
      </x:c>
      <x:c r="O128" s="36" t="n">
        <x:v>45</x:v>
      </x:c>
      <x:c r="P128" s="36" t="str">
        <x:v>NORMAL</x:v>
      </x:c>
      <x:c r="Q128" s="36" t="str">
        <x:v>ANY</x:v>
      </x:c>
      <x:c r="R128" s="36" t="str">
        <x:v>DIAG_SET</x:v>
      </x:c>
      <x:c r="S128" s="49" t="n">
        <x:v>46251.291666666664</x:v>
      </x:c>
      <x:c r="T128" s="37" t="b">
        <x:v>0</x:v>
      </x:c>
      <x:c r="U128" s="36" t="str">
        <x:v>PENDING</x:v>
      </x:c>
      <x:c r="V128" s="36"/>
      <x:c r="W128" s="36"/>
      <x:c r="X128" s="36" t="str">
        <x:v>needs_geocoding</x:v>
      </x:c>
    </x:row>
    <x:row r="129" ht="15" hidden="0" customHeight="1">
      <x:c r="A129" s="36" t="str">
        <x:v>CORE</x:v>
      </x:c>
      <x:c r="B129" s="36" t="str">
        <x:v>SOUTHEAST-63894</x:v>
      </x:c>
      <x:c r="C129" s="36" t="str">
        <x:v>63894</x:v>
      </x:c>
      <x:c r="D129" s="36" t="str">
        <x:v>SOUTHEAST</x:v>
      </x:c>
      <x:c r="E129" s="36" t="str">
        <x:v>Юго-восток</x:v>
      </x:c>
      <x:c r="F129" s="36" t="str">
        <x:v>Локальная заявка</x:v>
      </x:c>
      <x:c r="G129" s="36" t="str">
        <x:v>IP-адрес 169...</x:v>
      </x:c>
      <x:c r="H129" s="49" t="n">
        <x:v>46251.5</x:v>
      </x:c>
      <x:c r="I129" s="49" t="n">
        <x:v>46251.583333333336</x:v>
      </x:c>
      <x:c r="J129" s="36" t="str">
        <x:v>Орехово Борисово Северное</x:v>
      </x:c>
      <x:c r="K129" s="36" t="str">
        <x:v>Город Москва, ул.Шипиловская, д. 38</x:v>
      </x:c>
      <x:c r="L129" s="36" t="str"/>
      <x:c r="M129" s="36" t="str">
        <x:v>Нет</x:v>
      </x:c>
      <x:c r="N129" s="36" t="str">
        <x:v>LOCAL</x:v>
      </x:c>
      <x:c r="O129" s="36" t="n">
        <x:v>40</x:v>
      </x:c>
      <x:c r="P129" s="36" t="str">
        <x:v>NORMAL</x:v>
      </x:c>
      <x:c r="Q129" s="36" t="str">
        <x:v>ANY</x:v>
      </x:c>
      <x:c r="R129" s="36" t="str">
        <x:v>DIAG_SET</x:v>
      </x:c>
      <x:c r="S129" s="49" t="n">
        <x:v>46251.291666666664</x:v>
      </x:c>
      <x:c r="T129" s="37" t="b">
        <x:v>0</x:v>
      </x:c>
      <x:c r="U129" s="36" t="str">
        <x:v>PENDING</x:v>
      </x:c>
      <x:c r="V129" s="36"/>
      <x:c r="W129" s="36"/>
      <x:c r="X129" s="36" t="str">
        <x:v>needs_geocoding</x:v>
      </x:c>
    </x:row>
    <x:row r="130" ht="15" hidden="0" customHeight="1">
      <x:c r="A130" s="36" t="str">
        <x:v>CORE</x:v>
      </x:c>
      <x:c r="B130" s="36" t="str">
        <x:v>SOUTHEAST-64168</x:v>
      </x:c>
      <x:c r="C130" s="36" t="str">
        <x:v>64168</x:v>
      </x:c>
      <x:c r="D130" s="36" t="str">
        <x:v>SOUTHEAST</x:v>
      </x:c>
      <x:c r="E130" s="36" t="str">
        <x:v>Юго-восток</x:v>
      </x:c>
      <x:c r="F130" s="36" t="str">
        <x:v>Локальная заявка</x:v>
      </x:c>
      <x:c r="G130" s="36" t="str">
        <x:v>TVE/ENT. Замена приставки техником</x:v>
      </x:c>
      <x:c r="H130" s="49" t="n">
        <x:v>46251.666666666664</x:v>
      </x:c>
      <x:c r="I130" s="49" t="n">
        <x:v>46251.75</x:v>
      </x:c>
      <x:c r="J130" s="36" t="str">
        <x:v>Орехово Борисово Южное</x:v>
      </x:c>
      <x:c r="K130" s="36" t="str">
        <x:v>Город Москва, проезд.Гурьевский, д. 19 к 2</x:v>
      </x:c>
      <x:c r="L130" s="36" t="str"/>
      <x:c r="M130" s="36" t="str">
        <x:v>Нет</x:v>
      </x:c>
      <x:c r="N130" s="36" t="str">
        <x:v>LOCAL</x:v>
      </x:c>
      <x:c r="O130" s="36" t="n">
        <x:v>45</x:v>
      </x:c>
      <x:c r="P130" s="36" t="str">
        <x:v>NORMAL</x:v>
      </x:c>
      <x:c r="Q130" s="36" t="str">
        <x:v>ANY</x:v>
      </x:c>
      <x:c r="R130" s="36" t="str">
        <x:v>DIAG_SET|TV_BOX</x:v>
      </x:c>
      <x:c r="S130" s="49" t="n">
        <x:v>46251.291666666664</x:v>
      </x:c>
      <x:c r="T130" s="37" t="b">
        <x:v>0</x:v>
      </x:c>
      <x:c r="U130" s="36" t="str">
        <x:v>PENDING</x:v>
      </x:c>
      <x:c r="V130" s="36"/>
      <x:c r="W130" s="36"/>
      <x:c r="X130" s="36" t="str">
        <x:v>needs_geocoding</x:v>
      </x:c>
    </x:row>
    <x:row r="131" ht="15" hidden="0" customHeight="1">
      <x:c r="A131" s="36" t="str">
        <x:v>CORE</x:v>
      </x:c>
      <x:c r="B131" s="36" t="str">
        <x:v>SOUTHEAST-40919</x:v>
      </x:c>
      <x:c r="C131" s="36" t="str">
        <x:v>40919</x:v>
      </x:c>
      <x:c r="D131" s="36" t="str">
        <x:v>SOUTHEAST</x:v>
      </x:c>
      <x:c r="E131" s="36" t="str">
        <x:v>Юго-восток</x:v>
      </x:c>
      <x:c r="F131" s="36" t="str">
        <x:v>Локальная заявка</x:v>
      </x:c>
      <x:c r="G131" s="36" t="str">
        <x:v>Рост ошибок на порту</x:v>
      </x:c>
      <x:c r="H131" s="49" t="n">
        <x:v>46251.416666666664</x:v>
      </x:c>
      <x:c r="I131" s="49" t="n">
        <x:v>46251.5</x:v>
      </x:c>
      <x:c r="J131" s="36" t="str">
        <x:v>Орехово Борисово Северное</x:v>
      </x:c>
      <x:c r="K131" s="36" t="str">
        <x:v>Город Москва, проезд.Борисовский, д. 44 к 3</x:v>
      </x:c>
      <x:c r="L131" s="36" t="str"/>
      <x:c r="M131" s="36" t="str">
        <x:v>Нет</x:v>
      </x:c>
      <x:c r="N131" s="36" t="str">
        <x:v>LOCAL</x:v>
      </x:c>
      <x:c r="O131" s="36" t="n">
        <x:v>45</x:v>
      </x:c>
      <x:c r="P131" s="36" t="str">
        <x:v>NORMAL</x:v>
      </x:c>
      <x:c r="Q131" s="36" t="str">
        <x:v>ANY</x:v>
      </x:c>
      <x:c r="R131" s="36" t="str">
        <x:v>DIAG_SET</x:v>
      </x:c>
      <x:c r="S131" s="49" t="n">
        <x:v>46251.291666666664</x:v>
      </x:c>
      <x:c r="T131" s="37" t="b">
        <x:v>0</x:v>
      </x:c>
      <x:c r="U131" s="36" t="str">
        <x:v>PENDING</x:v>
      </x:c>
      <x:c r="V131" s="36"/>
      <x:c r="W131" s="36"/>
      <x:c r="X131" s="36" t="str">
        <x:v>needs_geocoding</x:v>
      </x:c>
    </x:row>
    <x:row r="132" ht="15" hidden="0" customHeight="1">
      <x:c r="A132" s="36" t="str">
        <x:v>CORE</x:v>
      </x:c>
      <x:c r="B132" s="36" t="str">
        <x:v>SOUTHEAST-36961</x:v>
      </x:c>
      <x:c r="C132" s="36" t="str">
        <x:v>36961</x:v>
      </x:c>
      <x:c r="D132" s="36" t="str">
        <x:v>SOUTHEAST</x:v>
      </x:c>
      <x:c r="E132" s="36" t="str">
        <x:v>Юго-восток</x:v>
      </x:c>
      <x:c r="F132" s="36" t="str">
        <x:v>Локальная заявка</x:v>
      </x:c>
      <x:c r="G132" s="36" t="str">
        <x:v>Нет линка</x:v>
      </x:c>
      <x:c r="H132" s="49" t="n">
        <x:v>46251.75</x:v>
      </x:c>
      <x:c r="I132" s="49" t="n">
        <x:v>46251.833333333336</x:v>
      </x:c>
      <x:c r="J132" s="36" t="str">
        <x:v>Зябликово</x:v>
      </x:c>
      <x:c r="K132" s="36" t="str">
        <x:v>Город Москва, проезд.Ореховый, д. 23 к 1</x:v>
      </x:c>
      <x:c r="L132" s="36" t="str"/>
      <x:c r="M132" s="36" t="str">
        <x:v>Нет</x:v>
      </x:c>
      <x:c r="N132" s="36" t="str">
        <x:v>LOCAL</x:v>
      </x:c>
      <x:c r="O132" s="36" t="n">
        <x:v>45</x:v>
      </x:c>
      <x:c r="P132" s="36" t="str">
        <x:v>NORMAL</x:v>
      </x:c>
      <x:c r="Q132" s="36" t="str">
        <x:v>ANY</x:v>
      </x:c>
      <x:c r="R132" s="36" t="str">
        <x:v>DIAG_SET</x:v>
      </x:c>
      <x:c r="S132" s="49" t="n">
        <x:v>46251.291666666664</x:v>
      </x:c>
      <x:c r="T132" s="37" t="b">
        <x:v>0</x:v>
      </x:c>
      <x:c r="U132" s="36" t="str">
        <x:v>PENDING</x:v>
      </x:c>
      <x:c r="V132" s="36"/>
      <x:c r="W132" s="36"/>
      <x:c r="X132" s="36" t="str">
        <x:v>needs_geocoding</x:v>
      </x:c>
    </x:row>
    <x:row r="133" ht="15" hidden="0" customHeight="1">
      <x:c r="A133" s="36" t="str">
        <x:v>CORE</x:v>
      </x:c>
      <x:c r="B133" s="36" t="str">
        <x:v>SOUTHEAST-12329</x:v>
      </x:c>
      <x:c r="C133" s="36" t="str">
        <x:v>12329</x:v>
      </x:c>
      <x:c r="D133" s="36" t="str">
        <x:v>SOUTHEAST</x:v>
      </x:c>
      <x:c r="E133" s="36" t="str">
        <x:v>Юго-восток</x:v>
      </x:c>
      <x:c r="F133" s="36" t="str">
        <x:v>Локальная заявка</x:v>
      </x:c>
      <x:c r="G133" s="36" t="str">
        <x:v>Разрывы</x:v>
      </x:c>
      <x:c r="H133" s="49" t="n">
        <x:v>46251.5</x:v>
      </x:c>
      <x:c r="I133" s="49" t="n">
        <x:v>46251.583333333336</x:v>
      </x:c>
      <x:c r="J133" s="36" t="str">
        <x:v>Бирюлево Западное</x:v>
      </x:c>
      <x:c r="K133" s="36" t="str">
        <x:v>Город Москва, ул.Булатниковская, д. 4 к 1</x:v>
      </x:c>
      <x:c r="L133" s="36" t="str"/>
      <x:c r="M133" s="36" t="str">
        <x:v>Нет</x:v>
      </x:c>
      <x:c r="N133" s="36" t="str">
        <x:v>LOCAL</x:v>
      </x:c>
      <x:c r="O133" s="36" t="n">
        <x:v>45</x:v>
      </x:c>
      <x:c r="P133" s="36" t="str">
        <x:v>NORMAL</x:v>
      </x:c>
      <x:c r="Q133" s="36" t="str">
        <x:v>ANY</x:v>
      </x:c>
      <x:c r="R133" s="36" t="str">
        <x:v>DIAG_SET</x:v>
      </x:c>
      <x:c r="S133" s="49" t="n">
        <x:v>46251.291666666664</x:v>
      </x:c>
      <x:c r="T133" s="37" t="b">
        <x:v>0</x:v>
      </x:c>
      <x:c r="U133" s="36" t="str">
        <x:v>PENDING</x:v>
      </x:c>
      <x:c r="V133" s="36"/>
      <x:c r="W133" s="36"/>
      <x:c r="X133" s="36" t="str">
        <x:v>needs_geocoding</x:v>
      </x:c>
    </x:row>
    <x:row r="134" ht="15" hidden="0" customHeight="1">
      <x:c r="A134" s="36" t="str">
        <x:v>CORE</x:v>
      </x:c>
      <x:c r="B134" s="36" t="str">
        <x:v>SOUTHEAST-95692</x:v>
      </x:c>
      <x:c r="C134" s="36" t="str">
        <x:v>95692</x:v>
      </x:c>
      <x:c r="D134" s="36" t="str">
        <x:v>SOUTHEAST</x:v>
      </x:c>
      <x:c r="E134" s="36" t="str">
        <x:v>Юго-восток</x:v>
      </x:c>
      <x:c r="F134" s="36" t="str">
        <x:v>Локальная заявка</x:v>
      </x:c>
      <x:c r="G134" s="36" t="str">
        <x:v>Нет линка</x:v>
      </x:c>
      <x:c r="H134" s="49" t="n">
        <x:v>46251.416666666664</x:v>
      </x:c>
      <x:c r="I134" s="49" t="n">
        <x:v>46251.5</x:v>
      </x:c>
      <x:c r="J134" s="36" t="str">
        <x:v>Зябликово</x:v>
      </x:c>
      <x:c r="K134" s="36" t="str">
        <x:v>Город Москва, б-р.Ореховый, д. 61 к 1</x:v>
      </x:c>
      <x:c r="L134" s="36" t="str"/>
      <x:c r="M134" s="36" t="str">
        <x:v>Нет</x:v>
      </x:c>
      <x:c r="N134" s="36" t="str">
        <x:v>LOCAL</x:v>
      </x:c>
      <x:c r="O134" s="36" t="n">
        <x:v>45</x:v>
      </x:c>
      <x:c r="P134" s="36" t="str">
        <x:v>NORMAL</x:v>
      </x:c>
      <x:c r="Q134" s="36" t="str">
        <x:v>ANY</x:v>
      </x:c>
      <x:c r="R134" s="36" t="str">
        <x:v>DIAG_SET</x:v>
      </x:c>
      <x:c r="S134" s="49" t="n">
        <x:v>46251.291666666664</x:v>
      </x:c>
      <x:c r="T134" s="37" t="b">
        <x:v>0</x:v>
      </x:c>
      <x:c r="U134" s="36" t="str">
        <x:v>PENDING</x:v>
      </x:c>
      <x:c r="V134" s="36"/>
      <x:c r="W134" s="36"/>
      <x:c r="X134" s="36" t="str">
        <x:v>needs_geocoding</x:v>
      </x:c>
    </x:row>
    <x:row r="135" ht="15" hidden="0" customHeight="1">
      <x:c r="A135" s="36" t="str">
        <x:v>CORE</x:v>
      </x:c>
      <x:c r="B135" s="36" t="str">
        <x:v>SOUTHEAST-13583</x:v>
      </x:c>
      <x:c r="C135" s="36" t="str">
        <x:v>13583</x:v>
      </x:c>
      <x:c r="D135" s="36" t="str">
        <x:v>SOUTHEAST</x:v>
      </x:c>
      <x:c r="E135" s="36" t="str">
        <x:v>Юго-восток</x:v>
      </x:c>
      <x:c r="F135" s="36" t="str">
        <x:v>Локальная заявка</x:v>
      </x:c>
      <x:c r="G135" s="36" t="str">
        <x:v>Нет линка</x:v>
      </x:c>
      <x:c r="H135" s="49" t="n">
        <x:v>46251.583333333336</x:v>
      </x:c>
      <x:c r="I135" s="49" t="n">
        <x:v>46251.666666666664</x:v>
      </x:c>
      <x:c r="J135" s="36" t="str">
        <x:v>Домодедово</x:v>
      </x:c>
      <x:c r="K135" s="36" t="str">
        <x:v>Домодедово, проезд.Кутузовский, д. 16</x:v>
      </x:c>
      <x:c r="L135" s="36" t="str"/>
      <x:c r="M135" s="36" t="str">
        <x:v>Нет</x:v>
      </x:c>
      <x:c r="N135" s="36" t="str">
        <x:v>LOCAL</x:v>
      </x:c>
      <x:c r="O135" s="36" t="n">
        <x:v>45</x:v>
      </x:c>
      <x:c r="P135" s="36" t="str">
        <x:v>NORMAL</x:v>
      </x:c>
      <x:c r="Q135" s="36" t="str">
        <x:v>CAR</x:v>
      </x:c>
      <x:c r="R135" s="36" t="str">
        <x:v>DIAG_SET</x:v>
      </x:c>
      <x:c r="S135" s="49" t="n">
        <x:v>46251.291666666664</x:v>
      </x:c>
      <x:c r="T135" s="37" t="b">
        <x:v>0</x:v>
      </x:c>
      <x:c r="U135" s="36" t="str">
        <x:v>PENDING</x:v>
      </x:c>
      <x:c r="V135" s="36"/>
      <x:c r="W135" s="36"/>
      <x:c r="X135" s="36" t="str">
        <x:v>needs_geocoding</x:v>
      </x:c>
    </x:row>
    <x:row r="136" ht="15" hidden="0" customHeight="1">
      <x:c r="A136" s="36" t="str">
        <x:v>CORE</x:v>
      </x:c>
      <x:c r="B136" s="36" t="str">
        <x:v>SOUTHEAST-3151</x:v>
      </x:c>
      <x:c r="C136" s="36" t="str">
        <x:v>3151</x:v>
      </x:c>
      <x:c r="D136" s="36" t="str">
        <x:v>SOUTHEAST</x:v>
      </x:c>
      <x:c r="E136" s="36" t="str">
        <x:v>Юго-восток</x:v>
      </x:c>
      <x:c r="F136" s="36" t="str">
        <x:v>Локальная заявка</x:v>
      </x:c>
      <x:c r="G136" s="36" t="str">
        <x:v>Нет линка</x:v>
      </x:c>
      <x:c r="H136" s="49" t="n">
        <x:v>46251.5</x:v>
      </x:c>
      <x:c r="I136" s="49" t="n">
        <x:v>46251.583333333336</x:v>
      </x:c>
      <x:c r="J136" s="36" t="str">
        <x:v>Кашира</x:v>
      </x:c>
      <x:c r="K136" s="36" t="str">
        <x:v>Кашира, ул.Ленина, д. 11 к 3</x:v>
      </x:c>
      <x:c r="L136" s="36" t="str"/>
      <x:c r="M136" s="36" t="str">
        <x:v>Нет</x:v>
      </x:c>
      <x:c r="N136" s="36" t="str">
        <x:v>LOCAL</x:v>
      </x:c>
      <x:c r="O136" s="36" t="n">
        <x:v>45</x:v>
      </x:c>
      <x:c r="P136" s="36" t="str">
        <x:v>NORMAL</x:v>
      </x:c>
      <x:c r="Q136" s="36" t="str">
        <x:v>CAR</x:v>
      </x:c>
      <x:c r="R136" s="36" t="str">
        <x:v>DIAG_SET</x:v>
      </x:c>
      <x:c r="S136" s="49" t="n">
        <x:v>46251.291666666664</x:v>
      </x:c>
      <x:c r="T136" s="37" t="b">
        <x:v>0</x:v>
      </x:c>
      <x:c r="U136" s="36" t="str">
        <x:v>PENDING</x:v>
      </x:c>
      <x:c r="V136" s="36"/>
      <x:c r="W136" s="36"/>
      <x:c r="X136" s="36" t="str">
        <x:v>needs_geocoding</x:v>
      </x:c>
    </x:row>
    <x:row r="137" ht="15" hidden="0" customHeight="1">
      <x:c r="A137" s="36" t="str">
        <x:v>CORE</x:v>
      </x:c>
      <x:c r="B137" s="36" t="str">
        <x:v>SOUTHEAST-45778</x:v>
      </x:c>
      <x:c r="C137" s="36" t="str">
        <x:v>45778</x:v>
      </x:c>
      <x:c r="D137" s="36" t="str">
        <x:v>SOUTHEAST</x:v>
      </x:c>
      <x:c r="E137" s="36" t="str">
        <x:v>Юго-восток</x:v>
      </x:c>
      <x:c r="F137" s="36" t="str">
        <x:v>Локальная заявка</x:v>
      </x:c>
      <x:c r="G137" s="36" t="str">
        <x:v>Рост ошибок на порту</x:v>
      </x:c>
      <x:c r="H137" s="49" t="n">
        <x:v>46251.583333333336</x:v>
      </x:c>
      <x:c r="I137" s="49" t="n">
        <x:v>46251.666666666664</x:v>
      </x:c>
      <x:c r="J137" s="36" t="str">
        <x:v>Кашира</x:v>
      </x:c>
      <x:c r="K137" s="36" t="str">
        <x:v>Кашира, ул.Металлургов, д. 5 к 3</x:v>
      </x:c>
      <x:c r="L137" s="36" t="str"/>
      <x:c r="M137" s="36" t="str">
        <x:v>Нет</x:v>
      </x:c>
      <x:c r="N137" s="36" t="str">
        <x:v>LOCAL</x:v>
      </x:c>
      <x:c r="O137" s="36" t="n">
        <x:v>45</x:v>
      </x:c>
      <x:c r="P137" s="36" t="str">
        <x:v>NORMAL</x:v>
      </x:c>
      <x:c r="Q137" s="36" t="str">
        <x:v>CAR</x:v>
      </x:c>
      <x:c r="R137" s="36" t="str">
        <x:v>DIAG_SET</x:v>
      </x:c>
      <x:c r="S137" s="49" t="n">
        <x:v>46251.291666666664</x:v>
      </x:c>
      <x:c r="T137" s="37" t="b">
        <x:v>0</x:v>
      </x:c>
      <x:c r="U137" s="36" t="str">
        <x:v>PENDING</x:v>
      </x:c>
      <x:c r="V137" s="36"/>
      <x:c r="W137" s="36"/>
      <x:c r="X137" s="36" t="str">
        <x:v>needs_geocoding</x:v>
      </x:c>
    </x:row>
    <x:row r="138" ht="15" hidden="0" customHeight="1">
      <x:c r="A138" s="36" t="str">
        <x:v>CORE</x:v>
      </x:c>
      <x:c r="B138" s="36" t="str">
        <x:v>SOUTHEAST-20055</x:v>
      </x:c>
      <x:c r="C138" s="36" t="str">
        <x:v>20055</x:v>
      </x:c>
      <x:c r="D138" s="36" t="str">
        <x:v>SOUTHEAST</x:v>
      </x:c>
      <x:c r="E138" s="36" t="str">
        <x:v>Юго-восток</x:v>
      </x:c>
      <x:c r="F138" s="36" t="str">
        <x:v>Локальная заявка</x:v>
      </x:c>
      <x:c r="G138" s="36" t="str">
        <x:v>IP-адрес 169...</x:v>
      </x:c>
      <x:c r="H138" s="49" t="n">
        <x:v>46251.5</x:v>
      </x:c>
      <x:c r="I138" s="49" t="n">
        <x:v>46251.583333333336</x:v>
      </x:c>
      <x:c r="J138" s="36" t="str">
        <x:v>Зябликово</x:v>
      </x:c>
      <x:c r="K138" s="36" t="str">
        <x:v>Город Москва, ул.Мусы Джалиля, д. 9 к 1</x:v>
      </x:c>
      <x:c r="L138" s="36" t="str"/>
      <x:c r="M138" s="36" t="str">
        <x:v>Нет</x:v>
      </x:c>
      <x:c r="N138" s="36" t="str">
        <x:v>LOCAL</x:v>
      </x:c>
      <x:c r="O138" s="36" t="n">
        <x:v>40</x:v>
      </x:c>
      <x:c r="P138" s="36" t="str">
        <x:v>NORMAL</x:v>
      </x:c>
      <x:c r="Q138" s="36" t="str">
        <x:v>ANY</x:v>
      </x:c>
      <x:c r="R138" s="36" t="str">
        <x:v>DIAG_SET</x:v>
      </x:c>
      <x:c r="S138" s="49" t="n">
        <x:v>46251.291666666664</x:v>
      </x:c>
      <x:c r="T138" s="37" t="b">
        <x:v>0</x:v>
      </x:c>
      <x:c r="U138" s="36" t="str">
        <x:v>PENDING</x:v>
      </x:c>
      <x:c r="V138" s="36"/>
      <x:c r="W138" s="36"/>
      <x:c r="X138" s="36" t="str">
        <x:v>needs_geocoding</x:v>
      </x:c>
    </x:row>
    <x:row r="139" ht="15" hidden="0" customHeight="1">
      <x:c r="A139" s="36" t="str">
        <x:v>CORE</x:v>
      </x:c>
      <x:c r="B139" s="36" t="str">
        <x:v>SOUTHEAST-7258</x:v>
      </x:c>
      <x:c r="C139" s="36" t="str">
        <x:v>7258</x:v>
      </x:c>
      <x:c r="D139" s="36" t="str">
        <x:v>SOUTHEAST</x:v>
      </x:c>
      <x:c r="E139" s="36" t="str">
        <x:v>Юго-восток</x:v>
      </x:c>
      <x:c r="F139" s="36" t="str">
        <x:v>Глобальная проблема</x:v>
      </x:c>
      <x:c r="G139" s="36" t="str">
        <x:v>Авария</x:v>
      </x:c>
      <x:c r="H139" s="49" t="n">
        <x:v>46251.833333333336</x:v>
      </x:c>
      <x:c r="I139" s="49" t="n">
        <x:v>46251.916666666664</x:v>
      </x:c>
      <x:c r="J139" s="36" t="str">
        <x:v>Домодедово</x:v>
      </x:c>
      <x:c r="K139" s="36" t="str">
        <x:v>обл.Московская область, г.Домодедово, пгт.Востряково-1, ул.Жуковского, д. 14/18</x:v>
      </x:c>
      <x:c r="L139" s="36" t="str"/>
      <x:c r="M139" s="36" t="str">
        <x:v>Нет</x:v>
      </x:c>
      <x:c r="N139" s="36" t="str">
        <x:v>EMERGENCY</x:v>
      </x:c>
      <x:c r="O139" s="36" t="n">
        <x:v>90</x:v>
      </x:c>
      <x:c r="P139" s="36" t="str">
        <x:v>URGENT</x:v>
      </x:c>
      <x:c r="Q139" s="36" t="str">
        <x:v>CAR</x:v>
      </x:c>
      <x:c r="R139" s="36" t="str">
        <x:v>DIAG_SET|CABLE_SET|CABLE_PACK</x:v>
      </x:c>
      <x:c r="S139" s="49" t="n">
        <x:v>46251.291666666664</x:v>
      </x:c>
      <x:c r="T139" s="37" t="b">
        <x:v>0</x:v>
      </x:c>
      <x:c r="U139" s="36" t="str">
        <x:v>PENDING</x:v>
      </x:c>
      <x:c r="V139" s="36"/>
      <x:c r="W139" s="36"/>
      <x:c r="X139" s="36" t="str">
        <x:v>needs_geocoding</x:v>
      </x:c>
    </x:row>
    <x:row r="140" ht="15" hidden="0" customHeight="1">
      <x:c r="A140" s="36" t="str">
        <x:v>CORE</x:v>
      </x:c>
      <x:c r="B140" s="36" t="str">
        <x:v>SOUTHEAST-78673</x:v>
      </x:c>
      <x:c r="C140" s="36" t="str">
        <x:v>78673</x:v>
      </x:c>
      <x:c r="D140" s="36" t="str">
        <x:v>SOUTHEAST</x:v>
      </x:c>
      <x:c r="E140" s="36" t="str">
        <x:v>Юго-восток</x:v>
      </x:c>
      <x:c r="F140" s="36" t="str">
        <x:v>Глобальная проблема</x:v>
      </x:c>
      <x:c r="G140" s="36" t="str">
        <x:v>Авария</x:v>
      </x:c>
      <x:c r="H140" s="49" t="n">
        <x:v>46251.00069444445</x:v>
      </x:c>
      <x:c r="I140" s="49" t="n">
        <x:v>46251.99930555555</x:v>
      </x:c>
      <x:c r="J140" s="36" t="str">
        <x:v>Кашира</x:v>
      </x:c>
      <x:c r="K140" s="36" t="str">
        <x:v>МО, г. Кашира Центральная ул. д. 21</x:v>
      </x:c>
      <x:c r="L140" s="36" t="str"/>
      <x:c r="M140" s="36" t="str">
        <x:v>Нет</x:v>
      </x:c>
      <x:c r="N140" s="36" t="str">
        <x:v>EMERGENCY</x:v>
      </x:c>
      <x:c r="O140" s="36" t="n">
        <x:v>90</x:v>
      </x:c>
      <x:c r="P140" s="36" t="str">
        <x:v>URGENT</x:v>
      </x:c>
      <x:c r="Q140" s="36" t="str">
        <x:v>CAR</x:v>
      </x:c>
      <x:c r="R140" s="36" t="str">
        <x:v>DIAG_SET|CABLE_SET|CABLE_PACK</x:v>
      </x:c>
      <x:c r="S140" s="49" t="n">
        <x:v>46251.291666666664</x:v>
      </x:c>
      <x:c r="T140" s="37" t="b">
        <x:v>0</x:v>
      </x:c>
      <x:c r="U140" s="36" t="str">
        <x:v>PENDING</x:v>
      </x:c>
      <x:c r="V140" s="36"/>
      <x:c r="W140" s="36"/>
      <x:c r="X140" s="36" t="str">
        <x:v>needs_geocoding</x:v>
      </x:c>
    </x:row>
    <x:row r="141" ht="15" hidden="0" customHeight="1">
      <x:c r="A141" s="36" t="str">
        <x:v>CORE</x:v>
      </x:c>
      <x:c r="B141" s="36" t="str">
        <x:v>SOUTHEAST-98998</x:v>
      </x:c>
      <x:c r="C141" s="36" t="str">
        <x:v>98998</x:v>
      </x:c>
      <x:c r="D141" s="36" t="str">
        <x:v>SOUTHEAST</x:v>
      </x:c>
      <x:c r="E141" s="36" t="str">
        <x:v>Юго-восток</x:v>
      </x:c>
      <x:c r="F141" s="36" t="str">
        <x:v>Глобальная проблема</x:v>
      </x:c>
      <x:c r="G141" s="36" t="str">
        <x:v>Авария</x:v>
      </x:c>
      <x:c r="H141" s="49" t="n">
        <x:v>46251.00069444445</x:v>
      </x:c>
      <x:c r="I141" s="49" t="n">
        <x:v>46251.99930555555</x:v>
      </x:c>
      <x:c r="J141" s="36" t="str">
        <x:v>Кашира</x:v>
      </x:c>
      <x:c r="K141" s="36" t="str">
        <x:v>МО, г. Кашира Кржижановского ул. д. 5/1</x:v>
      </x:c>
      <x:c r="L141" s="36" t="str"/>
      <x:c r="M141" s="36" t="str">
        <x:v>Нет</x:v>
      </x:c>
      <x:c r="N141" s="36" t="str">
        <x:v>EMERGENCY</x:v>
      </x:c>
      <x:c r="O141" s="36" t="n">
        <x:v>90</x:v>
      </x:c>
      <x:c r="P141" s="36" t="str">
        <x:v>URGENT</x:v>
      </x:c>
      <x:c r="Q141" s="36" t="str">
        <x:v>CAR</x:v>
      </x:c>
      <x:c r="R141" s="36" t="str">
        <x:v>DIAG_SET|CABLE_SET|CABLE_PACK</x:v>
      </x:c>
      <x:c r="S141" s="49" t="n">
        <x:v>46251.291666666664</x:v>
      </x:c>
      <x:c r="T141" s="37" t="b">
        <x:v>0</x:v>
      </x:c>
      <x:c r="U141" s="36" t="str">
        <x:v>PENDING</x:v>
      </x:c>
      <x:c r="V141" s="36"/>
      <x:c r="W141" s="36"/>
      <x:c r="X141" s="36" t="str">
        <x:v>needs_geocoding</x:v>
      </x:c>
    </x:row>
    <x:row r="142" ht="15" hidden="0" customHeight="1">
      <x:c r="A142" s="36" t="str">
        <x:v>CORE</x:v>
      </x:c>
      <x:c r="B142" s="36" t="str">
        <x:v>SOUTHEAST-32589</x:v>
      </x:c>
      <x:c r="C142" s="36" t="str">
        <x:v>32589</x:v>
      </x:c>
      <x:c r="D142" s="36" t="str">
        <x:v>SOUTHEAST</x:v>
      </x:c>
      <x:c r="E142" s="36" t="str">
        <x:v>Юго-восток</x:v>
      </x:c>
      <x:c r="F142" s="36" t="str">
        <x:v>Глобальная проблема</x:v>
      </x:c>
      <x:c r="G142" s="36" t="str">
        <x:v>Авария</x:v>
      </x:c>
      <x:c r="H142" s="49" t="n">
        <x:v>46251.00069444445</x:v>
      </x:c>
      <x:c r="I142" s="49" t="n">
        <x:v>46251.99930555555</x:v>
      </x:c>
      <x:c r="J142" s="36" t="str">
        <x:v>Кашира</x:v>
      </x:c>
      <x:c r="K142" s="36" t="str">
        <x:v>МО, г. Кашира Кржижановского ул. д. 7к2</x:v>
      </x:c>
      <x:c r="L142" s="36" t="str"/>
      <x:c r="M142" s="36" t="str">
        <x:v>Нет</x:v>
      </x:c>
      <x:c r="N142" s="36" t="str">
        <x:v>EMERGENCY</x:v>
      </x:c>
      <x:c r="O142" s="36" t="n">
        <x:v>90</x:v>
      </x:c>
      <x:c r="P142" s="36" t="str">
        <x:v>URGENT</x:v>
      </x:c>
      <x:c r="Q142" s="36" t="str">
        <x:v>CAR</x:v>
      </x:c>
      <x:c r="R142" s="36" t="str">
        <x:v>DIAG_SET|CABLE_SET|CABLE_PACK</x:v>
      </x:c>
      <x:c r="S142" s="49" t="n">
        <x:v>46251.291666666664</x:v>
      </x:c>
      <x:c r="T142" s="37" t="b">
        <x:v>0</x:v>
      </x:c>
      <x:c r="U142" s="36" t="str">
        <x:v>PENDING</x:v>
      </x:c>
      <x:c r="V142" s="36"/>
      <x:c r="W142" s="36"/>
      <x:c r="X142" s="36" t="str">
        <x:v>needs_geocoding</x:v>
      </x:c>
    </x:row>
    <x:row r="143" ht="15" hidden="0" customHeight="1">
      <x:c r="A143" s="36" t="str">
        <x:v>CORE</x:v>
      </x:c>
      <x:c r="B143" s="36" t="str">
        <x:v>SOUTHEAST-51774</x:v>
      </x:c>
      <x:c r="C143" s="36" t="str">
        <x:v>51774</x:v>
      </x:c>
      <x:c r="D143" s="36" t="str">
        <x:v>SOUTHEAST</x:v>
      </x:c>
      <x:c r="E143" s="36" t="str">
        <x:v>Юго-восток</x:v>
      </x:c>
      <x:c r="F143" s="36" t="str">
        <x:v>Глобальная проблема</x:v>
      </x:c>
      <x:c r="G143" s="36" t="str">
        <x:v>Авария</x:v>
      </x:c>
      <x:c r="H143" s="49" t="n">
        <x:v>46251.00069444445</x:v>
      </x:c>
      <x:c r="I143" s="49" t="n">
        <x:v>46251.99930555555</x:v>
      </x:c>
      <x:c r="J143" s="36" t="str">
        <x:v>Кашира</x:v>
      </x:c>
      <x:c r="K143" s="36" t="str">
        <x:v>МО, г. Кашира Кржижановского ул. д. 5/3</x:v>
      </x:c>
      <x:c r="L143" s="36" t="str"/>
      <x:c r="M143" s="36" t="str">
        <x:v>Нет</x:v>
      </x:c>
      <x:c r="N143" s="36" t="str">
        <x:v>EMERGENCY</x:v>
      </x:c>
      <x:c r="O143" s="36" t="n">
        <x:v>90</x:v>
      </x:c>
      <x:c r="P143" s="36" t="str">
        <x:v>URGENT</x:v>
      </x:c>
      <x:c r="Q143" s="36" t="str">
        <x:v>CAR</x:v>
      </x:c>
      <x:c r="R143" s="36" t="str">
        <x:v>DIAG_SET|CABLE_SET|CABLE_PACK</x:v>
      </x:c>
      <x:c r="S143" s="49" t="n">
        <x:v>46251.291666666664</x:v>
      </x:c>
      <x:c r="T143" s="37" t="b">
        <x:v>0</x:v>
      </x:c>
      <x:c r="U143" s="36" t="str">
        <x:v>PENDING</x:v>
      </x:c>
      <x:c r="V143" s="36"/>
      <x:c r="W143" s="36"/>
      <x:c r="X143" s="36" t="str">
        <x:v>needs_geocoding</x:v>
      </x:c>
    </x:row>
    <x:row r="144" ht="15" hidden="0" customHeight="1">
      <x:c r="A144" s="36" t="str">
        <x:v>CORE</x:v>
      </x:c>
      <x:c r="B144" s="36" t="str">
        <x:v>SOUTHEAST-90915</x:v>
      </x:c>
      <x:c r="C144" s="36" t="str">
        <x:v>90915</x:v>
      </x:c>
      <x:c r="D144" s="36" t="str">
        <x:v>SOUTHEAST</x:v>
      </x:c>
      <x:c r="E144" s="36" t="str">
        <x:v>Юго-восток</x:v>
      </x:c>
      <x:c r="F144" s="36" t="str">
        <x:v>Глобальная проблема</x:v>
      </x:c>
      <x:c r="G144" s="36" t="str">
        <x:v>Авария</x:v>
      </x:c>
      <x:c r="H144" s="49" t="n">
        <x:v>46251.00069444445</x:v>
      </x:c>
      <x:c r="I144" s="49" t="n">
        <x:v>46251.99930555555</x:v>
      </x:c>
      <x:c r="J144" s="36" t="str">
        <x:v>Кашира</x:v>
      </x:c>
      <x:c r="K144" s="36" t="str">
        <x:v>МО, г. Кашира Кржижановского ул. д. 5/2</x:v>
      </x:c>
      <x:c r="L144" s="36" t="str"/>
      <x:c r="M144" s="36" t="str">
        <x:v>Нет</x:v>
      </x:c>
      <x:c r="N144" s="36" t="str">
        <x:v>EMERGENCY</x:v>
      </x:c>
      <x:c r="O144" s="36" t="n">
        <x:v>90</x:v>
      </x:c>
      <x:c r="P144" s="36" t="str">
        <x:v>URGENT</x:v>
      </x:c>
      <x:c r="Q144" s="36" t="str">
        <x:v>CAR</x:v>
      </x:c>
      <x:c r="R144" s="36" t="str">
        <x:v>DIAG_SET|CABLE_SET|CABLE_PACK</x:v>
      </x:c>
      <x:c r="S144" s="49" t="n">
        <x:v>46251.291666666664</x:v>
      </x:c>
      <x:c r="T144" s="37" t="b">
        <x:v>0</x:v>
      </x:c>
      <x:c r="U144" s="36" t="str">
        <x:v>PENDING</x:v>
      </x:c>
      <x:c r="V144" s="36"/>
      <x:c r="W144" s="36"/>
      <x:c r="X144" s="36" t="str">
        <x:v>needs_geocoding</x:v>
      </x:c>
    </x:row>
    <x:row r="145" ht="15" hidden="0" customHeight="1">
      <x:c r="A145" s="36" t="str">
        <x:v>CORE</x:v>
      </x:c>
      <x:c r="B145" s="36" t="str">
        <x:v>SOUTHEAST-45243</x:v>
      </x:c>
      <x:c r="C145" s="36" t="str">
        <x:v>45243</x:v>
      </x:c>
      <x:c r="D145" s="36" t="str">
        <x:v>SOUTHEAST</x:v>
      </x:c>
      <x:c r="E145" s="36" t="str">
        <x:v>Юго-восток</x:v>
      </x:c>
      <x:c r="F145" s="36" t="str">
        <x:v>Глобальная проблема</x:v>
      </x:c>
      <x:c r="G145" s="36" t="str">
        <x:v>Авария</x:v>
      </x:c>
      <x:c r="H145" s="49" t="n">
        <x:v>46251.00069444445</x:v>
      </x:c>
      <x:c r="I145" s="49" t="n">
        <x:v>46251.99930555555</x:v>
      </x:c>
      <x:c r="J145" s="36" t="str">
        <x:v>Кашира</x:v>
      </x:c>
      <x:c r="K145" s="36" t="str">
        <x:v>МО, г. Кашира Кржижановского ул. д. 5/1</x:v>
      </x:c>
      <x:c r="L145" s="36" t="str"/>
      <x:c r="M145" s="36" t="str">
        <x:v>Нет</x:v>
      </x:c>
      <x:c r="N145" s="36" t="str">
        <x:v>EMERGENCY</x:v>
      </x:c>
      <x:c r="O145" s="36" t="n">
        <x:v>90</x:v>
      </x:c>
      <x:c r="P145" s="36" t="str">
        <x:v>URGENT</x:v>
      </x:c>
      <x:c r="Q145" s="36" t="str">
        <x:v>CAR</x:v>
      </x:c>
      <x:c r="R145" s="36" t="str">
        <x:v>DIAG_SET|CABLE_SET|CABLE_PACK</x:v>
      </x:c>
      <x:c r="S145" s="49" t="n">
        <x:v>46251.291666666664</x:v>
      </x:c>
      <x:c r="T145" s="37" t="b">
        <x:v>0</x:v>
      </x:c>
      <x:c r="U145" s="36" t="str">
        <x:v>PENDING</x:v>
      </x:c>
      <x:c r="V145" s="36"/>
      <x:c r="W145" s="36"/>
      <x:c r="X145" s="36" t="str">
        <x:v>needs_geocoding</x:v>
      </x:c>
    </x:row>
    <x:row r="146" ht="15" hidden="0" customHeight="1">
      <x:c r="A146" s="36" t="str">
        <x:v>CORE</x:v>
      </x:c>
      <x:c r="B146" s="36" t="str">
        <x:v>SOUTHEAST-81698</x:v>
      </x:c>
      <x:c r="C146" s="36" t="str">
        <x:v>81698</x:v>
      </x:c>
      <x:c r="D146" s="36" t="str">
        <x:v>SOUTHEAST</x:v>
      </x:c>
      <x:c r="E146" s="36" t="str">
        <x:v>Юго-восток</x:v>
      </x:c>
      <x:c r="F146" s="36" t="str">
        <x:v>Глобальная проблема</x:v>
      </x:c>
      <x:c r="G146" s="36" t="str">
        <x:v>Авария</x:v>
      </x:c>
      <x:c r="H146" s="49" t="n">
        <x:v>46251.00069444445</x:v>
      </x:c>
      <x:c r="I146" s="49" t="n">
        <x:v>46251.99930555555</x:v>
      </x:c>
      <x:c r="J146" s="36" t="str">
        <x:v>Ступино</x:v>
      </x:c>
      <x:c r="K146" s="36" t="str">
        <x:v>МО, г. Ступино Андропова ул. д. 37</x:v>
      </x:c>
      <x:c r="L146" s="36" t="str"/>
      <x:c r="M146" s="36" t="str">
        <x:v>Нет</x:v>
      </x:c>
      <x:c r="N146" s="36" t="str">
        <x:v>EMERGENCY</x:v>
      </x:c>
      <x:c r="O146" s="36" t="n">
        <x:v>90</x:v>
      </x:c>
      <x:c r="P146" s="36" t="str">
        <x:v>URGENT</x:v>
      </x:c>
      <x:c r="Q146" s="36" t="str">
        <x:v>CAR</x:v>
      </x:c>
      <x:c r="R146" s="36" t="str">
        <x:v>DIAG_SET|CABLE_SET|CABLE_PACK</x:v>
      </x:c>
      <x:c r="S146" s="49" t="n">
        <x:v>46251.291666666664</x:v>
      </x:c>
      <x:c r="T146" s="37" t="b">
        <x:v>0</x:v>
      </x:c>
      <x:c r="U146" s="36" t="str">
        <x:v>PENDING</x:v>
      </x:c>
      <x:c r="V146" s="36"/>
      <x:c r="W146" s="36"/>
      <x:c r="X146" s="36" t="str">
        <x:v>needs_geocoding</x:v>
      </x:c>
    </x:row>
    <x:row r="147" ht="15" hidden="0" customHeight="1">
      <x:c r="A147" s="36" t="str">
        <x:v>CORE</x:v>
      </x:c>
      <x:c r="B147" s="36" t="str">
        <x:v>SOUTHEAST-97168</x:v>
      </x:c>
      <x:c r="C147" s="36" t="str">
        <x:v>97168</x:v>
      </x:c>
      <x:c r="D147" s="36" t="str">
        <x:v>SOUTHEAST</x:v>
      </x:c>
      <x:c r="E147" s="36" t="str">
        <x:v>Юго-восток</x:v>
      </x:c>
      <x:c r="F147" s="36" t="str">
        <x:v>Глобальная проблема</x:v>
      </x:c>
      <x:c r="G147" s="36" t="str">
        <x:v>Авария</x:v>
      </x:c>
      <x:c r="H147" s="49" t="n">
        <x:v>46251.00069444445</x:v>
      </x:c>
      <x:c r="I147" s="49" t="n">
        <x:v>46251.99930555555</x:v>
      </x:c>
      <x:c r="J147" s="36" t="str">
        <x:v>Ступино</x:v>
      </x:c>
      <x:c r="K147" s="36" t="str">
        <x:v>МО, г. Ступино Андропова ул. д. 33</x:v>
      </x:c>
      <x:c r="L147" s="36" t="str"/>
      <x:c r="M147" s="36" t="str">
        <x:v>Нет</x:v>
      </x:c>
      <x:c r="N147" s="36" t="str">
        <x:v>EMERGENCY</x:v>
      </x:c>
      <x:c r="O147" s="36" t="n">
        <x:v>90</x:v>
      </x:c>
      <x:c r="P147" s="36" t="str">
        <x:v>URGENT</x:v>
      </x:c>
      <x:c r="Q147" s="36" t="str">
        <x:v>CAR</x:v>
      </x:c>
      <x:c r="R147" s="36" t="str">
        <x:v>DIAG_SET|CABLE_SET|CABLE_PACK</x:v>
      </x:c>
      <x:c r="S147" s="49" t="n">
        <x:v>46251.291666666664</x:v>
      </x:c>
      <x:c r="T147" s="37" t="b">
        <x:v>0</x:v>
      </x:c>
      <x:c r="U147" s="36" t="str">
        <x:v>PENDING</x:v>
      </x:c>
      <x:c r="V147" s="36"/>
      <x:c r="W147" s="36"/>
      <x:c r="X147" s="36" t="str">
        <x:v>needs_geocoding</x:v>
      </x:c>
    </x:row>
    <x:row r="148" ht="15" hidden="0" customHeight="1">
      <x:c r="A148" s="36" t="str">
        <x:v>CORE</x:v>
      </x:c>
      <x:c r="B148" s="36" t="str">
        <x:v>SOUTHEAST-65034</x:v>
      </x:c>
      <x:c r="C148" s="36" t="str">
        <x:v>65034</x:v>
      </x:c>
      <x:c r="D148" s="36" t="str">
        <x:v>SOUTHEAST</x:v>
      </x:c>
      <x:c r="E148" s="36" t="str">
        <x:v>Юго-восток</x:v>
      </x:c>
      <x:c r="F148" s="36" t="str">
        <x:v>Глобальная проблема</x:v>
      </x:c>
      <x:c r="G148" s="36" t="str">
        <x:v>Авария</x:v>
      </x:c>
      <x:c r="H148" s="49" t="n">
        <x:v>46251.00069444445</x:v>
      </x:c>
      <x:c r="I148" s="49" t="n">
        <x:v>46251.99930555555</x:v>
      </x:c>
      <x:c r="J148" s="36" t="str">
        <x:v>Кашира</x:v>
      </x:c>
      <x:c r="K148" s="36" t="str">
        <x:v>МО, г. Кашира Центральная ул. д. 19</x:v>
      </x:c>
      <x:c r="L148" s="36" t="str"/>
      <x:c r="M148" s="36" t="str">
        <x:v>Нет</x:v>
      </x:c>
      <x:c r="N148" s="36" t="str">
        <x:v>EMERGENCY</x:v>
      </x:c>
      <x:c r="O148" s="36" t="n">
        <x:v>90</x:v>
      </x:c>
      <x:c r="P148" s="36" t="str">
        <x:v>URGENT</x:v>
      </x:c>
      <x:c r="Q148" s="36" t="str">
        <x:v>CAR</x:v>
      </x:c>
      <x:c r="R148" s="36" t="str">
        <x:v>DIAG_SET|CABLE_SET|CABLE_PACK</x:v>
      </x:c>
      <x:c r="S148" s="49" t="n">
        <x:v>46251.291666666664</x:v>
      </x:c>
      <x:c r="T148" s="37" t="b">
        <x:v>0</x:v>
      </x:c>
      <x:c r="U148" s="36" t="str">
        <x:v>PENDING</x:v>
      </x:c>
      <x:c r="V148" s="36"/>
      <x:c r="W148" s="36"/>
      <x:c r="X148" s="36" t="str">
        <x:v>needs_geocoding</x:v>
      </x:c>
    </x:row>
    <x:row r="149" ht="15" hidden="0" customHeight="1">
      <x:c r="A149" s="36" t="str">
        <x:v>CORE</x:v>
      </x:c>
      <x:c r="B149" s="36" t="str">
        <x:v>SOUTHEAST-1287</x:v>
      </x:c>
      <x:c r="C149" s="36" t="str">
        <x:v>1287</x:v>
      </x:c>
      <x:c r="D149" s="36" t="str">
        <x:v>SOUTHEAST</x:v>
      </x:c>
      <x:c r="E149" s="36" t="str">
        <x:v>Юго-восток</x:v>
      </x:c>
      <x:c r="F149" s="36" t="str">
        <x:v>Глобальная проблема</x:v>
      </x:c>
      <x:c r="G149" s="36" t="str">
        <x:v>Авария</x:v>
      </x:c>
      <x:c r="H149" s="49" t="n">
        <x:v>46251.00069444445</x:v>
      </x:c>
      <x:c r="I149" s="49" t="n">
        <x:v>46251.99930555555</x:v>
      </x:c>
      <x:c r="J149" s="36" t="str">
        <x:v>Бирюлево Восточное</x:v>
      </x:c>
      <x:c r="K149" s="36" t="str">
        <x:v>Москва Бирюлевская ул. д. 44</x:v>
      </x:c>
      <x:c r="L149" s="36" t="str"/>
      <x:c r="M149" s="36" t="str">
        <x:v>Нет</x:v>
      </x:c>
      <x:c r="N149" s="36" t="str">
        <x:v>EMERGENCY</x:v>
      </x:c>
      <x:c r="O149" s="36" t="n">
        <x:v>90</x:v>
      </x:c>
      <x:c r="P149" s="36" t="str">
        <x:v>URGENT</x:v>
      </x:c>
      <x:c r="Q149" s="36" t="str">
        <x:v>ANY</x:v>
      </x:c>
      <x:c r="R149" s="36" t="str">
        <x:v>DIAG_SET|CABLE_SET|CABLE_PACK</x:v>
      </x:c>
      <x:c r="S149" s="49" t="n">
        <x:v>46251.291666666664</x:v>
      </x:c>
      <x:c r="T149" s="37" t="b">
        <x:v>0</x:v>
      </x:c>
      <x:c r="U149" s="36" t="str">
        <x:v>PENDING</x:v>
      </x:c>
      <x:c r="V149" s="36"/>
      <x:c r="W149" s="36"/>
      <x:c r="X149" s="36" t="str">
        <x:v>needs_geocoding</x:v>
      </x:c>
    </x:row>
    <x:row r="150" ht="15" hidden="0" customHeight="1">
      <x:c r="A150" s="36" t="str">
        <x:v>CORE</x:v>
      </x:c>
      <x:c r="B150" s="36" t="str">
        <x:v>SOUTHEAST-31495</x:v>
      </x:c>
      <x:c r="C150" s="36" t="str">
        <x:v>31495</x:v>
      </x:c>
      <x:c r="D150" s="36" t="str">
        <x:v>SOUTHEAST</x:v>
      </x:c>
      <x:c r="E150" s="36" t="str">
        <x:v>Юго-восток</x:v>
      </x:c>
      <x:c r="F150" s="36" t="str">
        <x:v>Глобальная проблема</x:v>
      </x:c>
      <x:c r="G150" s="36" t="str">
        <x:v>Авария</x:v>
      </x:c>
      <x:c r="H150" s="49" t="n">
        <x:v>46251.00069444445</x:v>
      </x:c>
      <x:c r="I150" s="49" t="n">
        <x:v>46251.99930555555</x:v>
      </x:c>
      <x:c r="J150" s="36" t="str">
        <x:v>Бирюлево Западное</x:v>
      </x:c>
      <x:c r="K150" s="36" t="str">
        <x:v>Москва Булатниковский пр-зд. д. 6к1</x:v>
      </x:c>
      <x:c r="L150" s="36" t="str"/>
      <x:c r="M150" s="36" t="str">
        <x:v>Нет</x:v>
      </x:c>
      <x:c r="N150" s="36" t="str">
        <x:v>EMERGENCY</x:v>
      </x:c>
      <x:c r="O150" s="36" t="n">
        <x:v>90</x:v>
      </x:c>
      <x:c r="P150" s="36" t="str">
        <x:v>URGENT</x:v>
      </x:c>
      <x:c r="Q150" s="36" t="str">
        <x:v>ANY</x:v>
      </x:c>
      <x:c r="R150" s="36" t="str">
        <x:v>DIAG_SET|CABLE_SET|CABLE_PACK</x:v>
      </x:c>
      <x:c r="S150" s="49" t="n">
        <x:v>46251.291666666664</x:v>
      </x:c>
      <x:c r="T150" s="37" t="b">
        <x:v>0</x:v>
      </x:c>
      <x:c r="U150" s="36" t="str">
        <x:v>PENDING</x:v>
      </x:c>
      <x:c r="V150" s="36"/>
      <x:c r="W150" s="36"/>
      <x:c r="X150" s="36" t="str">
        <x:v>needs_geocoding</x:v>
      </x:c>
    </x:row>
    <x:row r="151" ht="15" hidden="0" customHeight="1">
      <x:c r="A151" s="36" t="str">
        <x:v>CORE</x:v>
      </x:c>
      <x:c r="B151" s="36" t="str">
        <x:v>SOUTHCENTER-32840</x:v>
      </x:c>
      <x:c r="C151" s="36" t="str">
        <x:v>32840</x:v>
      </x:c>
      <x:c r="D151" s="36" t="str">
        <x:v>SOUTHCENTER</x:v>
      </x:c>
      <x:c r="E151" s="36" t="str">
        <x:v>Югоцентр</x:v>
      </x:c>
      <x:c r="F151" s="36" t="str">
        <x:v>Подключение</x:v>
      </x:c>
      <x:c r="G151" s="36" t="str">
        <x:v>Конвергенция абонента</x:v>
      </x:c>
      <x:c r="H151" s="49" t="n">
        <x:v>46251.75</x:v>
      </x:c>
      <x:c r="I151" s="49" t="n">
        <x:v>46251.833333333336</x:v>
      </x:c>
      <x:c r="J151" s="36" t="str">
        <x:v>Даниловский</x:v>
      </x:c>
      <x:c r="K151" s="36" t="str">
        <x:v>Город Москва, проезд.3-й Павелецкий, д. 9</x:v>
      </x:c>
      <x:c r="L151" s="36" t="str"/>
      <x:c r="M151" s="36" t="str">
        <x:v>Нет</x:v>
      </x:c>
      <x:c r="N151" s="36" t="str">
        <x:v>INSTALL</x:v>
      </x:c>
      <x:c r="O151" s="36" t="n">
        <x:v>60</x:v>
      </x:c>
      <x:c r="P151" s="36" t="str">
        <x:v>NORMAL</x:v>
      </x:c>
      <x:c r="Q151" s="36" t="str">
        <x:v>ANY</x:v>
      </x:c>
      <x:c r="R151" s="36" t="str">
        <x:v>DIAG_SET|INSTALL_SET|CABLE_PACK</x:v>
      </x:c>
      <x:c r="S151" s="49" t="n">
        <x:v>46251.291666666664</x:v>
      </x:c>
      <x:c r="T151" s="37" t="b">
        <x:v>0</x:v>
      </x:c>
      <x:c r="U151" s="36" t="str">
        <x:v>PENDING</x:v>
      </x:c>
      <x:c r="V151" s="36"/>
      <x:c r="W151" s="36"/>
      <x:c r="X151" s="36" t="str">
        <x:v>needs_geocoding</x:v>
      </x:c>
    </x:row>
    <x:row r="152" ht="15" hidden="0" customHeight="1">
      <x:c r="A152" s="36" t="str">
        <x:v>CORE</x:v>
      </x:c>
      <x:c r="B152" s="36" t="str">
        <x:v>SOUTHCENTER-78540</x:v>
      </x:c>
      <x:c r="C152" s="36" t="str">
        <x:v>78540</x:v>
      </x:c>
      <x:c r="D152" s="36" t="str">
        <x:v>SOUTHCENTER</x:v>
      </x:c>
      <x:c r="E152" s="36" t="str">
        <x:v>Югоцентр</x:v>
      </x:c>
      <x:c r="F152" s="36" t="str">
        <x:v>Подключение</x:v>
      </x:c>
      <x:c r="G152" s="36" t="str">
        <x:v>Конвергенция абонента</x:v>
      </x:c>
      <x:c r="H152" s="49" t="n">
        <x:v>46251.75</x:v>
      </x:c>
      <x:c r="I152" s="49" t="n">
        <x:v>46251.833333333336</x:v>
      </x:c>
      <x:c r="J152" s="36" t="str">
        <x:v>Даниловский</x:v>
      </x:c>
      <x:c r="K152" s="36" t="str">
        <x:v>Город Москва, ул.Восточная, д. 2 к 2</x:v>
      </x:c>
      <x:c r="L152" s="36" t="str"/>
      <x:c r="M152" s="36" t="str">
        <x:v>Нет</x:v>
      </x:c>
      <x:c r="N152" s="36" t="str">
        <x:v>INSTALL</x:v>
      </x:c>
      <x:c r="O152" s="36" t="n">
        <x:v>60</x:v>
      </x:c>
      <x:c r="P152" s="36" t="str">
        <x:v>NORMAL</x:v>
      </x:c>
      <x:c r="Q152" s="36" t="str">
        <x:v>ANY</x:v>
      </x:c>
      <x:c r="R152" s="36" t="str">
        <x:v>DIAG_SET|INSTALL_SET|CABLE_PACK</x:v>
      </x:c>
      <x:c r="S152" s="49" t="n">
        <x:v>46251.291666666664</x:v>
      </x:c>
      <x:c r="T152" s="37" t="b">
        <x:v>0</x:v>
      </x:c>
      <x:c r="U152" s="36" t="str">
        <x:v>PENDING</x:v>
      </x:c>
      <x:c r="V152" s="36"/>
      <x:c r="W152" s="36"/>
      <x:c r="X152" s="36" t="str">
        <x:v>needs_geocoding</x:v>
      </x:c>
    </x:row>
    <x:row r="153" ht="15" hidden="0" customHeight="1">
      <x:c r="A153" s="36" t="str">
        <x:v>CORE</x:v>
      </x:c>
      <x:c r="B153" s="36" t="str">
        <x:v>SOUTHCENTER-66376</x:v>
      </x:c>
      <x:c r="C153" s="36" t="str">
        <x:v>66376</x:v>
      </x:c>
      <x:c r="D153" s="36" t="str">
        <x:v>SOUTHCENTER</x:v>
      </x:c>
      <x:c r="E153" s="36" t="str">
        <x:v>Югоцентр</x:v>
      </x:c>
      <x:c r="F153" s="36" t="str">
        <x:v>Подключение</x:v>
      </x:c>
      <x:c r="G153" s="36" t="str">
        <x:v>Конвергенция абонента</x:v>
      </x:c>
      <x:c r="H153" s="49" t="n">
        <x:v>46251.75</x:v>
      </x:c>
      <x:c r="I153" s="49" t="n">
        <x:v>46251.833333333336</x:v>
      </x:c>
      <x:c r="J153" s="36" t="str">
        <x:v>GPON Даниловский</x:v>
      </x:c>
      <x:c r="K153" s="36" t="str">
        <x:v>Город Москва, ул.Дубининская, д. 59 к 2</x:v>
      </x:c>
      <x:c r="L153" s="36" t="str"/>
      <x:c r="M153" s="36" t="str">
        <x:v>Нет</x:v>
      </x:c>
      <x:c r="N153" s="36" t="str">
        <x:v>INSTALL</x:v>
      </x:c>
      <x:c r="O153" s="36" t="n">
        <x:v>60</x:v>
      </x:c>
      <x:c r="P153" s="36" t="str">
        <x:v>NORMAL</x:v>
      </x:c>
      <x:c r="Q153" s="36" t="str">
        <x:v>ANY</x:v>
      </x:c>
      <x:c r="R153" s="36" t="str">
        <x:v>DIAG_SET|INSTALL_SET|CABLE_PACK</x:v>
      </x:c>
      <x:c r="S153" s="49" t="n">
        <x:v>46251.291666666664</x:v>
      </x:c>
      <x:c r="T153" s="37" t="b">
        <x:v>0</x:v>
      </x:c>
      <x:c r="U153" s="36" t="str">
        <x:v>PENDING</x:v>
      </x:c>
      <x:c r="V153" s="36"/>
      <x:c r="W153" s="36"/>
      <x:c r="X153" s="36" t="str">
        <x:v>needs_geocoding</x:v>
      </x:c>
    </x:row>
    <x:row r="154" ht="15" hidden="0" customHeight="1">
      <x:c r="A154" s="36" t="str">
        <x:v>CORE</x:v>
      </x:c>
      <x:c r="B154" s="36" t="str">
        <x:v>SOUTHCENTER-23637</x:v>
      </x:c>
      <x:c r="C154" s="36" t="str">
        <x:v>23637</x:v>
      </x:c>
      <x:c r="D154" s="36" t="str">
        <x:v>SOUTHCENTER</x:v>
      </x:c>
      <x:c r="E154" s="36" t="str">
        <x:v>Югоцентр</x:v>
      </x:c>
      <x:c r="F154" s="36" t="str">
        <x:v>Подключение</x:v>
      </x:c>
      <x:c r="G154" s="36" t="str">
        <x:v>Конвергенция абонента</x:v>
      </x:c>
      <x:c r="H154" s="49" t="n">
        <x:v>46251.833333333336</x:v>
      </x:c>
      <x:c r="I154" s="49" t="n">
        <x:v>46251.916666666664</x:v>
      </x:c>
      <x:c r="J154" s="36" t="str">
        <x:v>Академический</x:v>
      </x:c>
      <x:c r="K154" s="36" t="str">
        <x:v>Город Москва, ул.Шверника, д. 18 к 2</x:v>
      </x:c>
      <x:c r="L154" s="36" t="str"/>
      <x:c r="M154" s="36" t="str">
        <x:v>Нет</x:v>
      </x:c>
      <x:c r="N154" s="36" t="str">
        <x:v>INSTALL</x:v>
      </x:c>
      <x:c r="O154" s="36" t="n">
        <x:v>60</x:v>
      </x:c>
      <x:c r="P154" s="36" t="str">
        <x:v>NORMAL</x:v>
      </x:c>
      <x:c r="Q154" s="36" t="str">
        <x:v>ANY</x:v>
      </x:c>
      <x:c r="R154" s="36" t="str">
        <x:v>DIAG_SET|INSTALL_SET|CABLE_PACK</x:v>
      </x:c>
      <x:c r="S154" s="49" t="n">
        <x:v>46251.291666666664</x:v>
      </x:c>
      <x:c r="T154" s="37" t="b">
        <x:v>0</x:v>
      </x:c>
      <x:c r="U154" s="36" t="str">
        <x:v>PENDING</x:v>
      </x:c>
      <x:c r="V154" s="36"/>
      <x:c r="W154" s="36"/>
      <x:c r="X154" s="36" t="str">
        <x:v>needs_geocoding</x:v>
      </x:c>
    </x:row>
    <x:row r="155" ht="15" hidden="0" customHeight="1">
      <x:c r="A155" s="36" t="str">
        <x:v>CORE</x:v>
      </x:c>
      <x:c r="B155" s="36" t="str">
        <x:v>SOUTHCENTER-97770</x:v>
      </x:c>
      <x:c r="C155" s="36" t="str">
        <x:v>97770</x:v>
      </x:c>
      <x:c r="D155" s="36" t="str">
        <x:v>SOUTHCENTER</x:v>
      </x:c>
      <x:c r="E155" s="36" t="str">
        <x:v>Югоцентр</x:v>
      </x:c>
      <x:c r="F155" s="36" t="str">
        <x:v>Подключение</x:v>
      </x:c>
      <x:c r="G155" s="36" t="str">
        <x:v>Конвергенция абонента</x:v>
      </x:c>
      <x:c r="H155" s="49" t="n">
        <x:v>46251.833333333336</x:v>
      </x:c>
      <x:c r="I155" s="49" t="n">
        <x:v>46251.916666666664</x:v>
      </x:c>
      <x:c r="J155" s="36" t="str">
        <x:v>Котловка</x:v>
      </x:c>
      <x:c r="K155" s="36" t="str">
        <x:v>Город Москва, ул.Нагорная, д. 44 к 2</x:v>
      </x:c>
      <x:c r="L155" s="36" t="str"/>
      <x:c r="M155" s="36" t="str">
        <x:v>Нет</x:v>
      </x:c>
      <x:c r="N155" s="36" t="str">
        <x:v>INSTALL</x:v>
      </x:c>
      <x:c r="O155" s="36" t="n">
        <x:v>60</x:v>
      </x:c>
      <x:c r="P155" s="36" t="str">
        <x:v>NORMAL</x:v>
      </x:c>
      <x:c r="Q155" s="36" t="str">
        <x:v>ANY</x:v>
      </x:c>
      <x:c r="R155" s="36" t="str">
        <x:v>DIAG_SET|INSTALL_SET|CABLE_PACK</x:v>
      </x:c>
      <x:c r="S155" s="49" t="n">
        <x:v>46251.291666666664</x:v>
      </x:c>
      <x:c r="T155" s="37" t="b">
        <x:v>0</x:v>
      </x:c>
      <x:c r="U155" s="36" t="str">
        <x:v>PENDING</x:v>
      </x:c>
      <x:c r="V155" s="36"/>
      <x:c r="W155" s="36"/>
      <x:c r="X155" s="36" t="str">
        <x:v>needs_geocoding</x:v>
      </x:c>
    </x:row>
    <x:row r="156" ht="15" hidden="0" customHeight="1">
      <x:c r="A156" s="36" t="str">
        <x:v>CORE</x:v>
      </x:c>
      <x:c r="B156" s="36" t="str">
        <x:v>SOUTHCENTER-55711</x:v>
      </x:c>
      <x:c r="C156" s="36" t="str">
        <x:v>55711</x:v>
      </x:c>
      <x:c r="D156" s="36" t="str">
        <x:v>SOUTHCENTER</x:v>
      </x:c>
      <x:c r="E156" s="36" t="str">
        <x:v>Югоцентр</x:v>
      </x:c>
      <x:c r="F156" s="36" t="str">
        <x:v>Подключение</x:v>
      </x:c>
      <x:c r="G156" s="36" t="str">
        <x:v>Конвергенция абонента</x:v>
      </x:c>
      <x:c r="H156" s="49" t="n">
        <x:v>46251.5</x:v>
      </x:c>
      <x:c r="I156" s="49" t="n">
        <x:v>46251.583333333336</x:v>
      </x:c>
      <x:c r="J156" s="36" t="str">
        <x:v>Зюзино</x:v>
      </x:c>
      <x:c r="K156" s="36" t="str">
        <x:v>Город Москва, ул.Херсонская, д. 18</x:v>
      </x:c>
      <x:c r="L156" s="36" t="str"/>
      <x:c r="M156" s="36" t="str">
        <x:v>Нет</x:v>
      </x:c>
      <x:c r="N156" s="36" t="str">
        <x:v>INSTALL</x:v>
      </x:c>
      <x:c r="O156" s="36" t="n">
        <x:v>60</x:v>
      </x:c>
      <x:c r="P156" s="36" t="str">
        <x:v>NORMAL</x:v>
      </x:c>
      <x:c r="Q156" s="36" t="str">
        <x:v>ANY</x:v>
      </x:c>
      <x:c r="R156" s="36" t="str">
        <x:v>DIAG_SET|INSTALL_SET|CABLE_PACK</x:v>
      </x:c>
      <x:c r="S156" s="49" t="n">
        <x:v>46251.291666666664</x:v>
      </x:c>
      <x:c r="T156" s="37" t="b">
        <x:v>0</x:v>
      </x:c>
      <x:c r="U156" s="36" t="str">
        <x:v>PENDING</x:v>
      </x:c>
      <x:c r="V156" s="36"/>
      <x:c r="W156" s="36"/>
      <x:c r="X156" s="36" t="str">
        <x:v>needs_geocoding</x:v>
      </x:c>
    </x:row>
    <x:row r="157" ht="15" hidden="0" customHeight="1">
      <x:c r="A157" s="36" t="str">
        <x:v>CORE</x:v>
      </x:c>
      <x:c r="B157" s="36" t="str">
        <x:v>SOUTHCENTER-76944</x:v>
      </x:c>
      <x:c r="C157" s="36" t="str">
        <x:v>76944</x:v>
      </x:c>
      <x:c r="D157" s="36" t="str">
        <x:v>SOUTHCENTER</x:v>
      </x:c>
      <x:c r="E157" s="36" t="str">
        <x:v>Югоцентр</x:v>
      </x:c>
      <x:c r="F157" s="36" t="str">
        <x:v>Подключение</x:v>
      </x:c>
      <x:c r="G157" s="36" t="str">
        <x:v>Конвергенция абонента</x:v>
      </x:c>
      <x:c r="H157" s="49" t="n">
        <x:v>46251.666666666664</x:v>
      </x:c>
      <x:c r="I157" s="49" t="n">
        <x:v>46251.75</x:v>
      </x:c>
      <x:c r="J157" s="36" t="str">
        <x:v>Академический</x:v>
      </x:c>
      <x:c r="K157" s="36" t="str">
        <x:v>Город Москва, пр-кт.60-летия Октября, д. 18 к 2</x:v>
      </x:c>
      <x:c r="L157" s="36" t="str"/>
      <x:c r="M157" s="36" t="str">
        <x:v>Нет</x:v>
      </x:c>
      <x:c r="N157" s="36" t="str">
        <x:v>INSTALL</x:v>
      </x:c>
      <x:c r="O157" s="36" t="n">
        <x:v>60</x:v>
      </x:c>
      <x:c r="P157" s="36" t="str">
        <x:v>NORMAL</x:v>
      </x:c>
      <x:c r="Q157" s="36" t="str">
        <x:v>ANY</x:v>
      </x:c>
      <x:c r="R157" s="36" t="str">
        <x:v>DIAG_SET|INSTALL_SET|CABLE_PACK</x:v>
      </x:c>
      <x:c r="S157" s="49" t="n">
        <x:v>46251.291666666664</x:v>
      </x:c>
      <x:c r="T157" s="37" t="b">
        <x:v>0</x:v>
      </x:c>
      <x:c r="U157" s="36" t="str">
        <x:v>PENDING</x:v>
      </x:c>
      <x:c r="V157" s="36"/>
      <x:c r="W157" s="36"/>
      <x:c r="X157" s="36" t="str">
        <x:v>needs_geocoding</x:v>
      </x:c>
    </x:row>
    <x:row r="158" ht="15" hidden="0" customHeight="1">
      <x:c r="A158" s="36" t="str">
        <x:v>CORE</x:v>
      </x:c>
      <x:c r="B158" s="36" t="str">
        <x:v>SOUTHCENTER-75881</x:v>
      </x:c>
      <x:c r="C158" s="36" t="str">
        <x:v>75881</x:v>
      </x:c>
      <x:c r="D158" s="36" t="str">
        <x:v>SOUTHCENTER</x:v>
      </x:c>
      <x:c r="E158" s="36" t="str">
        <x:v>Югоцентр</x:v>
      </x:c>
      <x:c r="F158" s="36" t="str">
        <x:v>Подключение</x:v>
      </x:c>
      <x:c r="G158" s="36" t="str">
        <x:v>Конвергенция абонента</x:v>
      </x:c>
      <x:c r="H158" s="49" t="n">
        <x:v>46251.583333333336</x:v>
      </x:c>
      <x:c r="I158" s="49" t="n">
        <x:v>46251.666666666664</x:v>
      </x:c>
      <x:c r="J158" s="36" t="str">
        <x:v>Академический</x:v>
      </x:c>
      <x:c r="K158" s="36" t="str">
        <x:v>Город Москва, ул.Дмитрия Ульянова, д. 27</x:v>
      </x:c>
      <x:c r="L158" s="36" t="str"/>
      <x:c r="M158" s="36" t="str">
        <x:v>Нет</x:v>
      </x:c>
      <x:c r="N158" s="36" t="str">
        <x:v>INSTALL</x:v>
      </x:c>
      <x:c r="O158" s="36" t="n">
        <x:v>60</x:v>
      </x:c>
      <x:c r="P158" s="36" t="str">
        <x:v>NORMAL</x:v>
      </x:c>
      <x:c r="Q158" s="36" t="str">
        <x:v>ANY</x:v>
      </x:c>
      <x:c r="R158" s="36" t="str">
        <x:v>DIAG_SET|INSTALL_SET|CABLE_PACK</x:v>
      </x:c>
      <x:c r="S158" s="49" t="n">
        <x:v>46251.291666666664</x:v>
      </x:c>
      <x:c r="T158" s="37" t="b">
        <x:v>0</x:v>
      </x:c>
      <x:c r="U158" s="36" t="str">
        <x:v>PENDING</x:v>
      </x:c>
      <x:c r="V158" s="36"/>
      <x:c r="W158" s="36"/>
      <x:c r="X158" s="36" t="str">
        <x:v>needs_geocoding</x:v>
      </x:c>
    </x:row>
    <x:row r="159" ht="15" hidden="0" customHeight="1">
      <x:c r="A159" s="36" t="str">
        <x:v>CORE</x:v>
      </x:c>
      <x:c r="B159" s="36" t="str">
        <x:v>SOUTHCENTER-85188</x:v>
      </x:c>
      <x:c r="C159" s="36" t="str">
        <x:v>85188</x:v>
      </x:c>
      <x:c r="D159" s="36" t="str">
        <x:v>SOUTHCENTER</x:v>
      </x:c>
      <x:c r="E159" s="36" t="str">
        <x:v>Югоцентр</x:v>
      </x:c>
      <x:c r="F159" s="36" t="str">
        <x:v>Подключение</x:v>
      </x:c>
      <x:c r="G159" s="36" t="str">
        <x:v>Заказ подключения/Дозаказ оборудования</x:v>
      </x:c>
      <x:c r="H159" s="49" t="n">
        <x:v>46251.666666666664</x:v>
      </x:c>
      <x:c r="I159" s="49" t="n">
        <x:v>46251.75</x:v>
      </x:c>
      <x:c r="J159" s="36" t="str">
        <x:v>Хамовники</x:v>
      </x:c>
      <x:c r="K159" s="36" t="str">
        <x:v>Город Москва, ул.Усачёва, д. 29 к 1</x:v>
      </x:c>
      <x:c r="L159" s="36" t="str"/>
      <x:c r="M159" s="36" t="str">
        <x:v>Нет</x:v>
      </x:c>
      <x:c r="N159" s="36" t="str">
        <x:v>INSTALL</x:v>
      </x:c>
      <x:c r="O159" s="36" t="n">
        <x:v>75</x:v>
      </x:c>
      <x:c r="P159" s="36" t="str">
        <x:v>NORMAL</x:v>
      </x:c>
      <x:c r="Q159" s="36" t="str">
        <x:v>ANY</x:v>
      </x:c>
      <x:c r="R159" s="36" t="str">
        <x:v>DIAG_SET|INSTALL_SET|CABLE_PACK</x:v>
      </x:c>
      <x:c r="S159" s="49" t="n">
        <x:v>46251.291666666664</x:v>
      </x:c>
      <x:c r="T159" s="37" t="b">
        <x:v>0</x:v>
      </x:c>
      <x:c r="U159" s="36" t="str">
        <x:v>PENDING</x:v>
      </x:c>
      <x:c r="V159" s="36"/>
      <x:c r="W159" s="36"/>
      <x:c r="X159" s="36" t="str">
        <x:v>needs_geocoding</x:v>
      </x:c>
    </x:row>
    <x:row r="160" ht="15" hidden="0" customHeight="1">
      <x:c r="A160" s="36" t="str">
        <x:v>CORE</x:v>
      </x:c>
      <x:c r="B160" s="36" t="str">
        <x:v>SOUTHCENTER-19376</x:v>
      </x:c>
      <x:c r="C160" s="36" t="str">
        <x:v>19376</x:v>
      </x:c>
      <x:c r="D160" s="36" t="str">
        <x:v>SOUTHCENTER</x:v>
      </x:c>
      <x:c r="E160" s="36" t="str">
        <x:v>Югоцентр</x:v>
      </x:c>
      <x:c r="F160" s="36" t="str">
        <x:v>Подключение</x:v>
      </x:c>
      <x:c r="G160" s="36" t="str">
        <x:v>Конвергенция абонента</x:v>
      </x:c>
      <x:c r="H160" s="49" t="n">
        <x:v>46251.666666666664</x:v>
      </x:c>
      <x:c r="I160" s="49" t="n">
        <x:v>46251.75</x:v>
      </x:c>
      <x:c r="J160" s="36" t="str">
        <x:v>Академический</x:v>
      </x:c>
      <x:c r="K160" s="36" t="str">
        <x:v>Город Москва, ул.Винокурова, д. 12 к 4</x:v>
      </x:c>
      <x:c r="L160" s="36" t="str"/>
      <x:c r="M160" s="36" t="str">
        <x:v>Нет</x:v>
      </x:c>
      <x:c r="N160" s="36" t="str">
        <x:v>INSTALL</x:v>
      </x:c>
      <x:c r="O160" s="36" t="n">
        <x:v>60</x:v>
      </x:c>
      <x:c r="P160" s="36" t="str">
        <x:v>NORMAL</x:v>
      </x:c>
      <x:c r="Q160" s="36" t="str">
        <x:v>ANY</x:v>
      </x:c>
      <x:c r="R160" s="36" t="str">
        <x:v>DIAG_SET|INSTALL_SET|CABLE_PACK</x:v>
      </x:c>
      <x:c r="S160" s="49" t="n">
        <x:v>46251.291666666664</x:v>
      </x:c>
      <x:c r="T160" s="37" t="b">
        <x:v>0</x:v>
      </x:c>
      <x:c r="U160" s="36" t="str">
        <x:v>PENDING</x:v>
      </x:c>
      <x:c r="V160" s="36"/>
      <x:c r="W160" s="36"/>
      <x:c r="X160" s="36" t="str">
        <x:v>needs_geocoding</x:v>
      </x:c>
    </x:row>
    <x:row r="161" ht="15" hidden="0" customHeight="1">
      <x:c r="A161" s="36" t="str">
        <x:v>CORE</x:v>
      </x:c>
      <x:c r="B161" s="36" t="str">
        <x:v>SOUTHCENTER-6185</x:v>
      </x:c>
      <x:c r="C161" s="36" t="str">
        <x:v>6185</x:v>
      </x:c>
      <x:c r="D161" s="36" t="str">
        <x:v>SOUTHCENTER</x:v>
      </x:c>
      <x:c r="E161" s="36" t="str">
        <x:v>Югоцентр</x:v>
      </x:c>
      <x:c r="F161" s="36" t="str">
        <x:v>Подключение</x:v>
      </x:c>
      <x:c r="G161" s="36" t="str">
        <x:v>Конвергенция абонента</x:v>
      </x:c>
      <x:c r="H161" s="49" t="n">
        <x:v>46251.75</x:v>
      </x:c>
      <x:c r="I161" s="49" t="n">
        <x:v>46251.833333333336</x:v>
      </x:c>
      <x:c r="J161" s="36" t="str">
        <x:v>Зюзино</x:v>
      </x:c>
      <x:c r="K161" s="36" t="str">
        <x:v>Город Москва, пр-кт.Балаклавский, д. 20 к 4</x:v>
      </x:c>
      <x:c r="L161" s="36" t="str"/>
      <x:c r="M161" s="36" t="str">
        <x:v>Нет</x:v>
      </x:c>
      <x:c r="N161" s="36" t="str">
        <x:v>INSTALL</x:v>
      </x:c>
      <x:c r="O161" s="36" t="n">
        <x:v>60</x:v>
      </x:c>
      <x:c r="P161" s="36" t="str">
        <x:v>NORMAL</x:v>
      </x:c>
      <x:c r="Q161" s="36" t="str">
        <x:v>ANY</x:v>
      </x:c>
      <x:c r="R161" s="36" t="str">
        <x:v>DIAG_SET|INSTALL_SET|CABLE_PACK</x:v>
      </x:c>
      <x:c r="S161" s="49" t="n">
        <x:v>46251.291666666664</x:v>
      </x:c>
      <x:c r="T161" s="37" t="b">
        <x:v>0</x:v>
      </x:c>
      <x:c r="U161" s="36" t="str">
        <x:v>PENDING</x:v>
      </x:c>
      <x:c r="V161" s="36"/>
      <x:c r="W161" s="36"/>
      <x:c r="X161" s="36" t="str">
        <x:v>needs_geocoding</x:v>
      </x:c>
    </x:row>
    <x:row r="162" ht="15" hidden="0" customHeight="1">
      <x:c r="A162" s="36" t="str">
        <x:v>CORE</x:v>
      </x:c>
      <x:c r="B162" s="36" t="str">
        <x:v>SOUTHCENTER-80548</x:v>
      </x:c>
      <x:c r="C162" s="36" t="str">
        <x:v>80548</x:v>
      </x:c>
      <x:c r="D162" s="36" t="str">
        <x:v>SOUTHCENTER</x:v>
      </x:c>
      <x:c r="E162" s="36" t="str">
        <x:v>Югоцентр</x:v>
      </x:c>
      <x:c r="F162" s="36" t="str">
        <x:v>Подключение</x:v>
      </x:c>
      <x:c r="G162" s="36" t="str">
        <x:v>Конвергенция абонента</x:v>
      </x:c>
      <x:c r="H162" s="49" t="n">
        <x:v>46251.666666666664</x:v>
      </x:c>
      <x:c r="I162" s="49" t="n">
        <x:v>46251.75</x:v>
      </x:c>
      <x:c r="J162" s="36" t="str">
        <x:v>Нагатино - Садовники</x:v>
      </x:c>
      <x:c r="K162" s="36" t="str">
        <x:v>Город Москва, ул.Садовники, д. 10 к 1</x:v>
      </x:c>
      <x:c r="L162" s="36" t="str"/>
      <x:c r="M162" s="36" t="str">
        <x:v>Нет</x:v>
      </x:c>
      <x:c r="N162" s="36" t="str">
        <x:v>INSTALL</x:v>
      </x:c>
      <x:c r="O162" s="36" t="n">
        <x:v>60</x:v>
      </x:c>
      <x:c r="P162" s="36" t="str">
        <x:v>NORMAL</x:v>
      </x:c>
      <x:c r="Q162" s="36" t="str">
        <x:v>ANY</x:v>
      </x:c>
      <x:c r="R162" s="36" t="str">
        <x:v>DIAG_SET|INSTALL_SET|CABLE_PACK</x:v>
      </x:c>
      <x:c r="S162" s="49" t="n">
        <x:v>46251.291666666664</x:v>
      </x:c>
      <x:c r="T162" s="37" t="b">
        <x:v>0</x:v>
      </x:c>
      <x:c r="U162" s="36" t="str">
        <x:v>PENDING</x:v>
      </x:c>
      <x:c r="V162" s="36"/>
      <x:c r="W162" s="36"/>
      <x:c r="X162" s="36" t="str">
        <x:v>needs_geocoding</x:v>
      </x:c>
    </x:row>
    <x:row r="163" ht="15" hidden="0" customHeight="1">
      <x:c r="A163" s="36" t="str">
        <x:v>CORE</x:v>
      </x:c>
      <x:c r="B163" s="36" t="str">
        <x:v>SOUTHCENTER-76452</x:v>
      </x:c>
      <x:c r="C163" s="36" t="str">
        <x:v>76452</x:v>
      </x:c>
      <x:c r="D163" s="36" t="str">
        <x:v>SOUTHCENTER</x:v>
      </x:c>
      <x:c r="E163" s="36" t="str">
        <x:v>Югоцентр</x:v>
      </x:c>
      <x:c r="F163" s="36" t="str">
        <x:v>Подключение</x:v>
      </x:c>
      <x:c r="G163" s="36" t="str">
        <x:v>Конвергенция абонента</x:v>
      </x:c>
      <x:c r="H163" s="49" t="n">
        <x:v>46251.5</x:v>
      </x:c>
      <x:c r="I163" s="49" t="n">
        <x:v>46251.583333333336</x:v>
      </x:c>
      <x:c r="J163" s="36" t="str">
        <x:v>Зюзино</x:v>
      </x:c>
      <x:c r="K163" s="36" t="str">
        <x:v>Город Москва, ул.Каховка, д. 7 к 1</x:v>
      </x:c>
      <x:c r="L163" s="36" t="str"/>
      <x:c r="M163" s="36" t="str">
        <x:v>Нет</x:v>
      </x:c>
      <x:c r="N163" s="36" t="str">
        <x:v>INSTALL</x:v>
      </x:c>
      <x:c r="O163" s="36" t="n">
        <x:v>60</x:v>
      </x:c>
      <x:c r="P163" s="36" t="str">
        <x:v>NORMAL</x:v>
      </x:c>
      <x:c r="Q163" s="36" t="str">
        <x:v>ANY</x:v>
      </x:c>
      <x:c r="R163" s="36" t="str">
        <x:v>DIAG_SET|INSTALL_SET|CABLE_PACK</x:v>
      </x:c>
      <x:c r="S163" s="49" t="n">
        <x:v>46251.291666666664</x:v>
      </x:c>
      <x:c r="T163" s="37" t="b">
        <x:v>0</x:v>
      </x:c>
      <x:c r="U163" s="36" t="str">
        <x:v>PENDING</x:v>
      </x:c>
      <x:c r="V163" s="36"/>
      <x:c r="W163" s="36"/>
      <x:c r="X163" s="36" t="str">
        <x:v>needs_geocoding</x:v>
      </x:c>
    </x:row>
    <x:row r="164" ht="15" hidden="0" customHeight="1">
      <x:c r="A164" s="36" t="str">
        <x:v>CORE</x:v>
      </x:c>
      <x:c r="B164" s="36" t="str">
        <x:v>SOUTHCENTER-47560</x:v>
      </x:c>
      <x:c r="C164" s="36" t="str">
        <x:v>47560</x:v>
      </x:c>
      <x:c r="D164" s="36" t="str">
        <x:v>SOUTHCENTER</x:v>
      </x:c>
      <x:c r="E164" s="36" t="str">
        <x:v>Югоцентр</x:v>
      </x:c>
      <x:c r="F164" s="36" t="str">
        <x:v>Подключение</x:v>
      </x:c>
      <x:c r="G164" s="36" t="str">
        <x:v>Конвергенция абонента</x:v>
      </x:c>
      <x:c r="H164" s="49" t="n">
        <x:v>46251.666666666664</x:v>
      </x:c>
      <x:c r="I164" s="49" t="n">
        <x:v>46251.75</x:v>
      </x:c>
      <x:c r="J164" s="36" t="str">
        <x:v>Замоскворечье</x:v>
      </x:c>
      <x:c r="K164" s="36" t="str">
        <x:v>Город Москва, ул.Большая Пионерская, д. 33 к 2</x:v>
      </x:c>
      <x:c r="L164" s="36" t="str"/>
      <x:c r="M164" s="36" t="str">
        <x:v>Нет</x:v>
      </x:c>
      <x:c r="N164" s="36" t="str">
        <x:v>INSTALL</x:v>
      </x:c>
      <x:c r="O164" s="36" t="n">
        <x:v>60</x:v>
      </x:c>
      <x:c r="P164" s="36" t="str">
        <x:v>NORMAL</x:v>
      </x:c>
      <x:c r="Q164" s="36" t="str">
        <x:v>ANY</x:v>
      </x:c>
      <x:c r="R164" s="36" t="str">
        <x:v>DIAG_SET|INSTALL_SET|CABLE_PACK</x:v>
      </x:c>
      <x:c r="S164" s="49" t="n">
        <x:v>46251.291666666664</x:v>
      </x:c>
      <x:c r="T164" s="37" t="b">
        <x:v>0</x:v>
      </x:c>
      <x:c r="U164" s="36" t="str">
        <x:v>PENDING</x:v>
      </x:c>
      <x:c r="V164" s="36"/>
      <x:c r="W164" s="36"/>
      <x:c r="X164" s="36" t="str">
        <x:v>needs_geocoding</x:v>
      </x:c>
    </x:row>
    <x:row r="165" ht="15" hidden="0" customHeight="1">
      <x:c r="A165" s="36" t="str">
        <x:v>CORE</x:v>
      </x:c>
      <x:c r="B165" s="36" t="str">
        <x:v>SOUTHCENTER-79707</x:v>
      </x:c>
      <x:c r="C165" s="36" t="str">
        <x:v>79707</x:v>
      </x:c>
      <x:c r="D165" s="36" t="str">
        <x:v>SOUTHCENTER</x:v>
      </x:c>
      <x:c r="E165" s="36" t="str">
        <x:v>Югоцентр</x:v>
      </x:c>
      <x:c r="F165" s="36" t="str">
        <x:v>Подключение</x:v>
      </x:c>
      <x:c r="G165" s="36" t="str">
        <x:v>Конвергенция абонента</x:v>
      </x:c>
      <x:c r="H165" s="49" t="n">
        <x:v>46251.416666666664</x:v>
      </x:c>
      <x:c r="I165" s="49" t="n">
        <x:v>46251.5</x:v>
      </x:c>
      <x:c r="J165" s="36" t="str">
        <x:v>Хамовники</x:v>
      </x:c>
      <x:c r="K165" s="36" t="str">
        <x:v>Город Москва, ул.Плющиха, д. 42</x:v>
      </x:c>
      <x:c r="L165" s="36" t="str"/>
      <x:c r="M165" s="36" t="str">
        <x:v>Нет</x:v>
      </x:c>
      <x:c r="N165" s="36" t="str">
        <x:v>INSTALL</x:v>
      </x:c>
      <x:c r="O165" s="36" t="n">
        <x:v>60</x:v>
      </x:c>
      <x:c r="P165" s="36" t="str">
        <x:v>NORMAL</x:v>
      </x:c>
      <x:c r="Q165" s="36" t="str">
        <x:v>ANY</x:v>
      </x:c>
      <x:c r="R165" s="36" t="str">
        <x:v>DIAG_SET|INSTALL_SET|CABLE_PACK</x:v>
      </x:c>
      <x:c r="S165" s="49" t="n">
        <x:v>46251.291666666664</x:v>
      </x:c>
      <x:c r="T165" s="37" t="b">
        <x:v>0</x:v>
      </x:c>
      <x:c r="U165" s="36" t="str">
        <x:v>PENDING</x:v>
      </x:c>
      <x:c r="V165" s="36"/>
      <x:c r="W165" s="36"/>
      <x:c r="X165" s="36" t="str">
        <x:v>needs_geocoding</x:v>
      </x:c>
    </x:row>
    <x:row r="166" ht="15" hidden="0" customHeight="1">
      <x:c r="A166" s="36" t="str">
        <x:v>CORE</x:v>
      </x:c>
      <x:c r="B166" s="36" t="str">
        <x:v>SOUTHCENTER-23142</x:v>
      </x:c>
      <x:c r="C166" s="36" t="str">
        <x:v>23142</x:v>
      </x:c>
      <x:c r="D166" s="36" t="str">
        <x:v>SOUTHCENTER</x:v>
      </x:c>
      <x:c r="E166" s="36" t="str">
        <x:v>Югоцентр</x:v>
      </x:c>
      <x:c r="F166" s="36" t="str">
        <x:v>Подключение</x:v>
      </x:c>
      <x:c r="G166" s="36" t="str">
        <x:v>Конвергенция абонента</x:v>
      </x:c>
      <x:c r="H166" s="49" t="n">
        <x:v>46251.416666666664</x:v>
      </x:c>
      <x:c r="I166" s="49" t="n">
        <x:v>46251.5</x:v>
      </x:c>
      <x:c r="J166" s="36" t="str">
        <x:v>Нагатинский Затон</x:v>
      </x:c>
      <x:c r="K166" s="36" t="str">
        <x:v>Город Москва, ул.Судостроительная, д. 31 к 3</x:v>
      </x:c>
      <x:c r="L166" s="36" t="str"/>
      <x:c r="M166" s="36" t="str">
        <x:v>Нет</x:v>
      </x:c>
      <x:c r="N166" s="36" t="str">
        <x:v>INSTALL</x:v>
      </x:c>
      <x:c r="O166" s="36" t="n">
        <x:v>60</x:v>
      </x:c>
      <x:c r="P166" s="36" t="str">
        <x:v>NORMAL</x:v>
      </x:c>
      <x:c r="Q166" s="36" t="str">
        <x:v>ANY</x:v>
      </x:c>
      <x:c r="R166" s="36" t="str">
        <x:v>DIAG_SET|INSTALL_SET|CABLE_PACK</x:v>
      </x:c>
      <x:c r="S166" s="49" t="n">
        <x:v>46251.291666666664</x:v>
      </x:c>
      <x:c r="T166" s="37" t="b">
        <x:v>0</x:v>
      </x:c>
      <x:c r="U166" s="36" t="str">
        <x:v>PENDING</x:v>
      </x:c>
      <x:c r="V166" s="36"/>
      <x:c r="W166" s="36"/>
      <x:c r="X166" s="36" t="str">
        <x:v>needs_geocoding</x:v>
      </x:c>
    </x:row>
    <x:row r="167" ht="15" hidden="0" customHeight="1">
      <x:c r="A167" s="36" t="str">
        <x:v>CORE</x:v>
      </x:c>
      <x:c r="B167" s="36" t="str">
        <x:v>SOUTHCENTER-10776</x:v>
      </x:c>
      <x:c r="C167" s="36" t="str">
        <x:v>10776</x:v>
      </x:c>
      <x:c r="D167" s="36" t="str">
        <x:v>SOUTHCENTER</x:v>
      </x:c>
      <x:c r="E167" s="36" t="str">
        <x:v>Югоцентр</x:v>
      </x:c>
      <x:c r="F167" s="36" t="str">
        <x:v>Подключение</x:v>
      </x:c>
      <x:c r="G167" s="36" t="str">
        <x:v>Конвергенция абонента</x:v>
      </x:c>
      <x:c r="H167" s="49" t="n">
        <x:v>46251.5</x:v>
      </x:c>
      <x:c r="I167" s="49" t="n">
        <x:v>46251.583333333336</x:v>
      </x:c>
      <x:c r="J167" s="36" t="str">
        <x:v>Нагатинский Затон</x:v>
      </x:c>
      <x:c r="K167" s="36" t="str">
        <x:v>Город Москва, ул.Судостроительная, д. 36</x:v>
      </x:c>
      <x:c r="L167" s="36" t="str"/>
      <x:c r="M167" s="36" t="str">
        <x:v>Нет</x:v>
      </x:c>
      <x:c r="N167" s="36" t="str">
        <x:v>INSTALL</x:v>
      </x:c>
      <x:c r="O167" s="36" t="n">
        <x:v>60</x:v>
      </x:c>
      <x:c r="P167" s="36" t="str">
        <x:v>NORMAL</x:v>
      </x:c>
      <x:c r="Q167" s="36" t="str">
        <x:v>ANY</x:v>
      </x:c>
      <x:c r="R167" s="36" t="str">
        <x:v>DIAG_SET|INSTALL_SET|CABLE_PACK</x:v>
      </x:c>
      <x:c r="S167" s="49" t="n">
        <x:v>46251.291666666664</x:v>
      </x:c>
      <x:c r="T167" s="37" t="b">
        <x:v>0</x:v>
      </x:c>
      <x:c r="U167" s="36" t="str">
        <x:v>PENDING</x:v>
      </x:c>
      <x:c r="V167" s="36"/>
      <x:c r="W167" s="36"/>
      <x:c r="X167" s="36" t="str">
        <x:v>needs_geocoding</x:v>
      </x:c>
    </x:row>
    <x:row r="168" ht="15" hidden="0" customHeight="1">
      <x:c r="A168" s="36" t="str">
        <x:v>CORE</x:v>
      </x:c>
      <x:c r="B168" s="36" t="str">
        <x:v>SOUTHCENTER-94447</x:v>
      </x:c>
      <x:c r="C168" s="36" t="str">
        <x:v>94447</x:v>
      </x:c>
      <x:c r="D168" s="36" t="str">
        <x:v>SOUTHCENTER</x:v>
      </x:c>
      <x:c r="E168" s="36" t="str">
        <x:v>Югоцентр</x:v>
      </x:c>
      <x:c r="F168" s="36" t="str">
        <x:v>Подключение</x:v>
      </x:c>
      <x:c r="G168" s="36" t="str">
        <x:v>Заказ подключения/Дозаказ оборудования</x:v>
      </x:c>
      <x:c r="H168" s="49" t="n">
        <x:v>46251.416666666664</x:v>
      </x:c>
      <x:c r="I168" s="49" t="n">
        <x:v>46251.5</x:v>
      </x:c>
      <x:c r="J168" s="36" t="str">
        <x:v>Нагатинский Затон</x:v>
      </x:c>
      <x:c r="K168" s="36" t="str">
        <x:v>Город Москва, ул.Затонная, д. 11 к 3</x:v>
      </x:c>
      <x:c r="L168" s="36" t="str"/>
      <x:c r="M168" s="36" t="str">
        <x:v>Нет</x:v>
      </x:c>
      <x:c r="N168" s="36" t="str">
        <x:v>INSTALL</x:v>
      </x:c>
      <x:c r="O168" s="36" t="n">
        <x:v>75</x:v>
      </x:c>
      <x:c r="P168" s="36" t="str">
        <x:v>NORMAL</x:v>
      </x:c>
      <x:c r="Q168" s="36" t="str">
        <x:v>ANY</x:v>
      </x:c>
      <x:c r="R168" s="36" t="str">
        <x:v>DIAG_SET|INSTALL_SET|CABLE_PACK</x:v>
      </x:c>
      <x:c r="S168" s="49" t="n">
        <x:v>46251.291666666664</x:v>
      </x:c>
      <x:c r="T168" s="37" t="b">
        <x:v>0</x:v>
      </x:c>
      <x:c r="U168" s="36" t="str">
        <x:v>PENDING</x:v>
      </x:c>
      <x:c r="V168" s="36"/>
      <x:c r="W168" s="36"/>
      <x:c r="X168" s="36" t="str">
        <x:v>needs_geocoding</x:v>
      </x:c>
    </x:row>
    <x:row r="169" ht="15" hidden="0" customHeight="1">
      <x:c r="A169" s="36" t="str">
        <x:v>CORE</x:v>
      </x:c>
      <x:c r="B169" s="36" t="str">
        <x:v>SOUTHCENTER-94575</x:v>
      </x:c>
      <x:c r="C169" s="36" t="str">
        <x:v>94575</x:v>
      </x:c>
      <x:c r="D169" s="36" t="str">
        <x:v>SOUTHCENTER</x:v>
      </x:c>
      <x:c r="E169" s="36" t="str">
        <x:v>Югоцентр</x:v>
      </x:c>
      <x:c r="F169" s="36" t="str">
        <x:v>Подключение</x:v>
      </x:c>
      <x:c r="G169" s="36" t="str">
        <x:v>Конвергенция абонента</x:v>
      </x:c>
      <x:c r="H169" s="49" t="n">
        <x:v>46251.75</x:v>
      </x:c>
      <x:c r="I169" s="49" t="n">
        <x:v>46251.833333333336</x:v>
      </x:c>
      <x:c r="J169" s="36" t="str">
        <x:v>Даниловский</x:v>
      </x:c>
      <x:c r="K169" s="36" t="str">
        <x:v>Город Москва, ул.Автозаводская, д. 11</x:v>
      </x:c>
      <x:c r="L169" s="36" t="str"/>
      <x:c r="M169" s="36" t="str">
        <x:v>Нет</x:v>
      </x:c>
      <x:c r="N169" s="36" t="str">
        <x:v>INSTALL</x:v>
      </x:c>
      <x:c r="O169" s="36" t="n">
        <x:v>60</x:v>
      </x:c>
      <x:c r="P169" s="36" t="str">
        <x:v>NORMAL</x:v>
      </x:c>
      <x:c r="Q169" s="36" t="str">
        <x:v>ANY</x:v>
      </x:c>
      <x:c r="R169" s="36" t="str">
        <x:v>DIAG_SET|INSTALL_SET|CABLE_PACK</x:v>
      </x:c>
      <x:c r="S169" s="49" t="n">
        <x:v>46251.291666666664</x:v>
      </x:c>
      <x:c r="T169" s="37" t="b">
        <x:v>0</x:v>
      </x:c>
      <x:c r="U169" s="36" t="str">
        <x:v>PENDING</x:v>
      </x:c>
      <x:c r="V169" s="36"/>
      <x:c r="W169" s="36"/>
      <x:c r="X169" s="36" t="str">
        <x:v>needs_geocoding</x:v>
      </x:c>
    </x:row>
    <x:row r="170" ht="15" hidden="0" customHeight="1">
      <x:c r="A170" s="36" t="str">
        <x:v>CORE</x:v>
      </x:c>
      <x:c r="B170" s="36" t="str">
        <x:v>SOUTHCENTER-94431</x:v>
      </x:c>
      <x:c r="C170" s="36" t="str">
        <x:v>94431</x:v>
      </x:c>
      <x:c r="D170" s="36" t="str">
        <x:v>SOUTHCENTER</x:v>
      </x:c>
      <x:c r="E170" s="36" t="str">
        <x:v>Югоцентр</x:v>
      </x:c>
      <x:c r="F170" s="36" t="str">
        <x:v>Подключение</x:v>
      </x:c>
      <x:c r="G170" s="36" t="str">
        <x:v>Конвергенция абонента</x:v>
      </x:c>
      <x:c r="H170" s="49" t="n">
        <x:v>46251.416666666664</x:v>
      </x:c>
      <x:c r="I170" s="49" t="n">
        <x:v>46251.5</x:v>
      </x:c>
      <x:c r="J170" s="36" t="str">
        <x:v>Академический</x:v>
      </x:c>
      <x:c r="K170" s="36" t="str">
        <x:v>Город Москва, ул.Шверника, д. 12/2 к 3</x:v>
      </x:c>
      <x:c r="L170" s="36" t="str"/>
      <x:c r="M170" s="36" t="str">
        <x:v>Нет</x:v>
      </x:c>
      <x:c r="N170" s="36" t="str">
        <x:v>INSTALL</x:v>
      </x:c>
      <x:c r="O170" s="36" t="n">
        <x:v>60</x:v>
      </x:c>
      <x:c r="P170" s="36" t="str">
        <x:v>NORMAL</x:v>
      </x:c>
      <x:c r="Q170" s="36" t="str">
        <x:v>ANY</x:v>
      </x:c>
      <x:c r="R170" s="36" t="str">
        <x:v>DIAG_SET|INSTALL_SET|CABLE_PACK</x:v>
      </x:c>
      <x:c r="S170" s="49" t="n">
        <x:v>46251.291666666664</x:v>
      </x:c>
      <x:c r="T170" s="37" t="b">
        <x:v>0</x:v>
      </x:c>
      <x:c r="U170" s="36" t="str">
        <x:v>PENDING</x:v>
      </x:c>
      <x:c r="V170" s="36"/>
      <x:c r="W170" s="36"/>
      <x:c r="X170" s="36" t="str">
        <x:v>needs_geocoding</x:v>
      </x:c>
    </x:row>
    <x:row r="171" ht="15" hidden="0" customHeight="1">
      <x:c r="A171" s="36" t="str">
        <x:v>CORE</x:v>
      </x:c>
      <x:c r="B171" s="36" t="str">
        <x:v>SOUTHCENTER-52576</x:v>
      </x:c>
      <x:c r="C171" s="36" t="str">
        <x:v>52576</x:v>
      </x:c>
      <x:c r="D171" s="36" t="str">
        <x:v>SOUTHCENTER</x:v>
      </x:c>
      <x:c r="E171" s="36" t="str">
        <x:v>Югоцентр</x:v>
      </x:c>
      <x:c r="F171" s="36" t="str">
        <x:v>Подключение</x:v>
      </x:c>
      <x:c r="G171" s="36" t="str">
        <x:v>Заявка на подключение</x:v>
      </x:c>
      <x:c r="H171" s="49" t="n">
        <x:v>46251.833333333336</x:v>
      </x:c>
      <x:c r="I171" s="49" t="n">
        <x:v>46251.916666666664</x:v>
      </x:c>
      <x:c r="J171" s="36" t="str">
        <x:v>Нагатинский Затон</x:v>
      </x:c>
      <x:c r="K171" s="36" t="str">
        <x:v>Город Москва, ул.Судостроительная, д. 27 к 2</x:v>
      </x:c>
      <x:c r="L171" s="36" t="str"/>
      <x:c r="M171" s="36" t="str">
        <x:v>Нет</x:v>
      </x:c>
      <x:c r="N171" s="36" t="str">
        <x:v>INSTALL</x:v>
      </x:c>
      <x:c r="O171" s="36" t="n">
        <x:v>90</x:v>
      </x:c>
      <x:c r="P171" s="36" t="str">
        <x:v>NORMAL</x:v>
      </x:c>
      <x:c r="Q171" s="36" t="str">
        <x:v>ANY</x:v>
      </x:c>
      <x:c r="R171" s="36" t="str">
        <x:v>DIAG_SET|INSTALL_SET|CABLE_PACK</x:v>
      </x:c>
      <x:c r="S171" s="49" t="n">
        <x:v>46251.291666666664</x:v>
      </x:c>
      <x:c r="T171" s="37" t="b">
        <x:v>0</x:v>
      </x:c>
      <x:c r="U171" s="36" t="str">
        <x:v>PENDING</x:v>
      </x:c>
      <x:c r="V171" s="36"/>
      <x:c r="W171" s="36"/>
      <x:c r="X171" s="36" t="str">
        <x:v>needs_geocoding</x:v>
      </x:c>
    </x:row>
    <x:row r="172" ht="15" hidden="0" customHeight="1">
      <x:c r="A172" s="36" t="str">
        <x:v>CORE</x:v>
      </x:c>
      <x:c r="B172" s="36" t="str">
        <x:v>SOUTHCENTER-66315</x:v>
      </x:c>
      <x:c r="C172" s="36" t="str">
        <x:v>66315</x:v>
      </x:c>
      <x:c r="D172" s="36" t="str">
        <x:v>SOUTHCENTER</x:v>
      </x:c>
      <x:c r="E172" s="36" t="str">
        <x:v>Югоцентр</x:v>
      </x:c>
      <x:c r="F172" s="36" t="str">
        <x:v>Подключение</x:v>
      </x:c>
      <x:c r="G172" s="36" t="str">
        <x:v>Конвергенция абонента</x:v>
      </x:c>
      <x:c r="H172" s="49" t="n">
        <x:v>46251.666666666664</x:v>
      </x:c>
      <x:c r="I172" s="49" t="n">
        <x:v>46251.75</x:v>
      </x:c>
      <x:c r="J172" s="36" t="str">
        <x:v>Академический</x:v>
      </x:c>
      <x:c r="K172" s="36" t="str">
        <x:v>Город Москва, ул.Шверника, д. 3</x:v>
      </x:c>
      <x:c r="L172" s="36" t="str"/>
      <x:c r="M172" s="36" t="str">
        <x:v>Нет</x:v>
      </x:c>
      <x:c r="N172" s="36" t="str">
        <x:v>INSTALL</x:v>
      </x:c>
      <x:c r="O172" s="36" t="n">
        <x:v>60</x:v>
      </x:c>
      <x:c r="P172" s="36" t="str">
        <x:v>NORMAL</x:v>
      </x:c>
      <x:c r="Q172" s="36" t="str">
        <x:v>ANY</x:v>
      </x:c>
      <x:c r="R172" s="36" t="str">
        <x:v>DIAG_SET|INSTALL_SET|CABLE_PACK</x:v>
      </x:c>
      <x:c r="S172" s="49" t="n">
        <x:v>46251.291666666664</x:v>
      </x:c>
      <x:c r="T172" s="37" t="b">
        <x:v>0</x:v>
      </x:c>
      <x:c r="U172" s="36" t="str">
        <x:v>PENDING</x:v>
      </x:c>
      <x:c r="V172" s="36"/>
      <x:c r="W172" s="36"/>
      <x:c r="X172" s="36" t="str">
        <x:v>needs_geocoding</x:v>
      </x:c>
    </x:row>
    <x:row r="173" ht="15" hidden="0" customHeight="1">
      <x:c r="A173" s="36" t="str">
        <x:v>CORE</x:v>
      </x:c>
      <x:c r="B173" s="36" t="str">
        <x:v>SOUTHCENTER-93544</x:v>
      </x:c>
      <x:c r="C173" s="36" t="str">
        <x:v>93544</x:v>
      </x:c>
      <x:c r="D173" s="36" t="str">
        <x:v>SOUTHCENTER</x:v>
      </x:c>
      <x:c r="E173" s="36" t="str">
        <x:v>Югоцентр</x:v>
      </x:c>
      <x:c r="F173" s="36" t="str">
        <x:v>Подключение</x:v>
      </x:c>
      <x:c r="G173" s="36" t="str">
        <x:v>Конвергенция абонента</x:v>
      </x:c>
      <x:c r="H173" s="49" t="n">
        <x:v>46251.5</x:v>
      </x:c>
      <x:c r="I173" s="49" t="n">
        <x:v>46251.583333333336</x:v>
      </x:c>
      <x:c r="J173" s="36" t="str">
        <x:v>Зюзино</x:v>
      </x:c>
      <x:c r="K173" s="36" t="str">
        <x:v>Город Москва, б-р.Черноморский, д. 19 к 2</x:v>
      </x:c>
      <x:c r="L173" s="36" t="str"/>
      <x:c r="M173" s="36" t="str">
        <x:v>Нет</x:v>
      </x:c>
      <x:c r="N173" s="36" t="str">
        <x:v>INSTALL</x:v>
      </x:c>
      <x:c r="O173" s="36" t="n">
        <x:v>60</x:v>
      </x:c>
      <x:c r="P173" s="36" t="str">
        <x:v>NORMAL</x:v>
      </x:c>
      <x:c r="Q173" s="36" t="str">
        <x:v>ANY</x:v>
      </x:c>
      <x:c r="R173" s="36" t="str">
        <x:v>DIAG_SET|INSTALL_SET|CABLE_PACK</x:v>
      </x:c>
      <x:c r="S173" s="49" t="n">
        <x:v>46251.291666666664</x:v>
      </x:c>
      <x:c r="T173" s="37" t="b">
        <x:v>0</x:v>
      </x:c>
      <x:c r="U173" s="36" t="str">
        <x:v>PENDING</x:v>
      </x:c>
      <x:c r="V173" s="36"/>
      <x:c r="W173" s="36"/>
      <x:c r="X173" s="36" t="str">
        <x:v>needs_geocoding</x:v>
      </x:c>
    </x:row>
    <x:row r="174" ht="15" hidden="0" customHeight="1">
      <x:c r="A174" s="36" t="str">
        <x:v>CORE</x:v>
      </x:c>
      <x:c r="B174" s="36" t="str">
        <x:v>SOUTHCENTER-19203</x:v>
      </x:c>
      <x:c r="C174" s="36" t="str">
        <x:v>19203</x:v>
      </x:c>
      <x:c r="D174" s="36" t="str">
        <x:v>SOUTHCENTER</x:v>
      </x:c>
      <x:c r="E174" s="36" t="str">
        <x:v>Югоцентр</x:v>
      </x:c>
      <x:c r="F174" s="36" t="str">
        <x:v>Подключение</x:v>
      </x:c>
      <x:c r="G174" s="36" t="str">
        <x:v>Конвергенция абонента</x:v>
      </x:c>
      <x:c r="H174" s="49" t="n">
        <x:v>46251.5</x:v>
      </x:c>
      <x:c r="I174" s="49" t="n">
        <x:v>46251.583333333336</x:v>
      </x:c>
      <x:c r="J174" s="36" t="str">
        <x:v>Зюзино</x:v>
      </x:c>
      <x:c r="K174" s="36" t="str">
        <x:v>Город Москва, ул.Керченская, д. 6 к 2</x:v>
      </x:c>
      <x:c r="L174" s="36" t="str"/>
      <x:c r="M174" s="36" t="str">
        <x:v>Нет</x:v>
      </x:c>
      <x:c r="N174" s="36" t="str">
        <x:v>INSTALL</x:v>
      </x:c>
      <x:c r="O174" s="36" t="n">
        <x:v>60</x:v>
      </x:c>
      <x:c r="P174" s="36" t="str">
        <x:v>NORMAL</x:v>
      </x:c>
      <x:c r="Q174" s="36" t="str">
        <x:v>ANY</x:v>
      </x:c>
      <x:c r="R174" s="36" t="str">
        <x:v>DIAG_SET|INSTALL_SET|CABLE_PACK</x:v>
      </x:c>
      <x:c r="S174" s="49" t="n">
        <x:v>46251.291666666664</x:v>
      </x:c>
      <x:c r="T174" s="37" t="b">
        <x:v>0</x:v>
      </x:c>
      <x:c r="U174" s="36" t="str">
        <x:v>PENDING</x:v>
      </x:c>
      <x:c r="V174" s="36"/>
      <x:c r="W174" s="36"/>
      <x:c r="X174" s="36" t="str">
        <x:v>needs_geocoding</x:v>
      </x:c>
    </x:row>
    <x:row r="175" ht="15" hidden="0" customHeight="1">
      <x:c r="A175" s="36" t="str">
        <x:v>CORE</x:v>
      </x:c>
      <x:c r="B175" s="36" t="str">
        <x:v>SOUTHCENTER-16024</x:v>
      </x:c>
      <x:c r="C175" s="36" t="str">
        <x:v>16024</x:v>
      </x:c>
      <x:c r="D175" s="36" t="str">
        <x:v>SOUTHCENTER</x:v>
      </x:c>
      <x:c r="E175" s="36" t="str">
        <x:v>Югоцентр</x:v>
      </x:c>
      <x:c r="F175" s="36" t="str">
        <x:v>Подключение</x:v>
      </x:c>
      <x:c r="G175" s="36" t="str">
        <x:v>Заявка на подключение</x:v>
      </x:c>
      <x:c r="H175" s="49" t="n">
        <x:v>46251.416666666664</x:v>
      </x:c>
      <x:c r="I175" s="49" t="n">
        <x:v>46251.5</x:v>
      </x:c>
      <x:c r="J175" s="36" t="str">
        <x:v>Нагатинский Затон</x:v>
      </x:c>
      <x:c r="K175" s="36" t="str">
        <x:v>Город Москва, б-р.Кленовый, д. 10 к 1</x:v>
      </x:c>
      <x:c r="L175" s="36" t="str"/>
      <x:c r="M175" s="36" t="str">
        <x:v>Нет</x:v>
      </x:c>
      <x:c r="N175" s="36" t="str">
        <x:v>INSTALL</x:v>
      </x:c>
      <x:c r="O175" s="36" t="n">
        <x:v>90</x:v>
      </x:c>
      <x:c r="P175" s="36" t="str">
        <x:v>NORMAL</x:v>
      </x:c>
      <x:c r="Q175" s="36" t="str">
        <x:v>ANY</x:v>
      </x:c>
      <x:c r="R175" s="36" t="str">
        <x:v>DIAG_SET|INSTALL_SET|CABLE_PACK</x:v>
      </x:c>
      <x:c r="S175" s="49" t="n">
        <x:v>46251.291666666664</x:v>
      </x:c>
      <x:c r="T175" s="37" t="b">
        <x:v>0</x:v>
      </x:c>
      <x:c r="U175" s="36" t="str">
        <x:v>PENDING</x:v>
      </x:c>
      <x:c r="V175" s="36"/>
      <x:c r="W175" s="36"/>
      <x:c r="X175" s="36" t="str">
        <x:v>needs_geocoding</x:v>
      </x:c>
    </x:row>
    <x:row r="176" ht="15" hidden="0" customHeight="1">
      <x:c r="A176" s="36" t="str">
        <x:v>CORE</x:v>
      </x:c>
      <x:c r="B176" s="36" t="str">
        <x:v>SOUTHCENTER-90373</x:v>
      </x:c>
      <x:c r="C176" s="36" t="str">
        <x:v>90373</x:v>
      </x:c>
      <x:c r="D176" s="36" t="str">
        <x:v>SOUTHCENTER</x:v>
      </x:c>
      <x:c r="E176" s="36" t="str">
        <x:v>Югоцентр</x:v>
      </x:c>
      <x:c r="F176" s="36" t="str">
        <x:v>Подключение</x:v>
      </x:c>
      <x:c r="G176" s="36" t="str">
        <x:v>Конвергенция абонента</x:v>
      </x:c>
      <x:c r="H176" s="49" t="n">
        <x:v>46251.5</x:v>
      </x:c>
      <x:c r="I176" s="49" t="n">
        <x:v>46251.583333333336</x:v>
      </x:c>
      <x:c r="J176" s="36" t="str">
        <x:v>Нагатинский Затон</x:v>
      </x:c>
      <x:c r="K176" s="36" t="str">
        <x:v>Город Москва, ул.Коломенская, д. 5</x:v>
      </x:c>
      <x:c r="L176" s="36" t="str"/>
      <x:c r="M176" s="36" t="str">
        <x:v>Нет</x:v>
      </x:c>
      <x:c r="N176" s="36" t="str">
        <x:v>INSTALL</x:v>
      </x:c>
      <x:c r="O176" s="36" t="n">
        <x:v>60</x:v>
      </x:c>
      <x:c r="P176" s="36" t="str">
        <x:v>NORMAL</x:v>
      </x:c>
      <x:c r="Q176" s="36" t="str">
        <x:v>ANY</x:v>
      </x:c>
      <x:c r="R176" s="36" t="str">
        <x:v>DIAG_SET|INSTALL_SET|CABLE_PACK</x:v>
      </x:c>
      <x:c r="S176" s="49" t="n">
        <x:v>46251.291666666664</x:v>
      </x:c>
      <x:c r="T176" s="37" t="b">
        <x:v>0</x:v>
      </x:c>
      <x:c r="U176" s="36" t="str">
        <x:v>PENDING</x:v>
      </x:c>
      <x:c r="V176" s="36"/>
      <x:c r="W176" s="36"/>
      <x:c r="X176" s="36" t="str">
        <x:v>needs_geocoding</x:v>
      </x:c>
    </x:row>
    <x:row r="177" ht="15" hidden="0" customHeight="1">
      <x:c r="A177" s="36" t="str">
        <x:v>CORE</x:v>
      </x:c>
      <x:c r="B177" s="36" t="str">
        <x:v>SOUTHCENTER-79719</x:v>
      </x:c>
      <x:c r="C177" s="36" t="str">
        <x:v>79719</x:v>
      </x:c>
      <x:c r="D177" s="36" t="str">
        <x:v>SOUTHCENTER</x:v>
      </x:c>
      <x:c r="E177" s="36" t="str">
        <x:v>Югоцентр</x:v>
      </x:c>
      <x:c r="F177" s="36" t="str">
        <x:v>Подключение</x:v>
      </x:c>
      <x:c r="G177" s="36" t="str">
        <x:v>Заказ подключения/Дозаказ оборудования</x:v>
      </x:c>
      <x:c r="H177" s="49" t="n">
        <x:v>46251.5</x:v>
      </x:c>
      <x:c r="I177" s="49" t="n">
        <x:v>46251.583333333336</x:v>
      </x:c>
      <x:c r="J177" s="36" t="str">
        <x:v>Хамовники</x:v>
      </x:c>
      <x:c r="K177" s="36" t="str">
        <x:v>Город Москва, б-р.Смоленский, д. 17 стр. 1</x:v>
      </x:c>
      <x:c r="L177" s="36" t="str"/>
      <x:c r="M177" s="36" t="str">
        <x:v>Нет</x:v>
      </x:c>
      <x:c r="N177" s="36" t="str">
        <x:v>INSTALL</x:v>
      </x:c>
      <x:c r="O177" s="36" t="n">
        <x:v>75</x:v>
      </x:c>
      <x:c r="P177" s="36" t="str">
        <x:v>NORMAL</x:v>
      </x:c>
      <x:c r="Q177" s="36" t="str">
        <x:v>ANY</x:v>
      </x:c>
      <x:c r="R177" s="36" t="str">
        <x:v>DIAG_SET|INSTALL_SET|CABLE_PACK</x:v>
      </x:c>
      <x:c r="S177" s="49" t="n">
        <x:v>46251.291666666664</x:v>
      </x:c>
      <x:c r="T177" s="37" t="b">
        <x:v>0</x:v>
      </x:c>
      <x:c r="U177" s="36" t="str">
        <x:v>PENDING</x:v>
      </x:c>
      <x:c r="V177" s="36"/>
      <x:c r="W177" s="36"/>
      <x:c r="X177" s="36" t="str">
        <x:v>needs_geocoding</x:v>
      </x:c>
    </x:row>
    <x:row r="178" ht="15" hidden="0" customHeight="1">
      <x:c r="A178" s="36" t="str">
        <x:v>CORE</x:v>
      </x:c>
      <x:c r="B178" s="36" t="str">
        <x:v>SOUTHCENTER-6957</x:v>
      </x:c>
      <x:c r="C178" s="36" t="str">
        <x:v>6957</x:v>
      </x:c>
      <x:c r="D178" s="36" t="str">
        <x:v>SOUTHCENTER</x:v>
      </x:c>
      <x:c r="E178" s="36" t="str">
        <x:v>Югоцентр</x:v>
      </x:c>
      <x:c r="F178" s="36" t="str">
        <x:v>Подключение</x:v>
      </x:c>
      <x:c r="G178" s="36" t="str">
        <x:v>Конвергенция абонента</x:v>
      </x:c>
      <x:c r="H178" s="49" t="n">
        <x:v>46251.416666666664</x:v>
      </x:c>
      <x:c r="I178" s="49" t="n">
        <x:v>46251.5</x:v>
      </x:c>
      <x:c r="J178" s="36" t="str">
        <x:v>Хамовники</x:v>
      </x:c>
      <x:c r="K178" s="36" t="str">
        <x:v>Город Москва, ул.Усачёва, д. 25</x:v>
      </x:c>
      <x:c r="L178" s="36" t="str"/>
      <x:c r="M178" s="36" t="str">
        <x:v>Нет</x:v>
      </x:c>
      <x:c r="N178" s="36" t="str">
        <x:v>INSTALL</x:v>
      </x:c>
      <x:c r="O178" s="36" t="n">
        <x:v>60</x:v>
      </x:c>
      <x:c r="P178" s="36" t="str">
        <x:v>NORMAL</x:v>
      </x:c>
      <x:c r="Q178" s="36" t="str">
        <x:v>ANY</x:v>
      </x:c>
      <x:c r="R178" s="36" t="str">
        <x:v>DIAG_SET|INSTALL_SET|CABLE_PACK</x:v>
      </x:c>
      <x:c r="S178" s="49" t="n">
        <x:v>46251.291666666664</x:v>
      </x:c>
      <x:c r="T178" s="37" t="b">
        <x:v>0</x:v>
      </x:c>
      <x:c r="U178" s="36" t="str">
        <x:v>PENDING</x:v>
      </x:c>
      <x:c r="V178" s="36"/>
      <x:c r="W178" s="36"/>
      <x:c r="X178" s="36" t="str">
        <x:v>needs_geocoding</x:v>
      </x:c>
    </x:row>
    <x:row r="179" ht="15" hidden="0" customHeight="1">
      <x:c r="A179" s="36" t="str">
        <x:v>CORE</x:v>
      </x:c>
      <x:c r="B179" s="36" t="str">
        <x:v>SOUTHCENTER-78036</x:v>
      </x:c>
      <x:c r="C179" s="36" t="str">
        <x:v>78036</x:v>
      </x:c>
      <x:c r="D179" s="36" t="str">
        <x:v>SOUTHCENTER</x:v>
      </x:c>
      <x:c r="E179" s="36" t="str">
        <x:v>Югоцентр</x:v>
      </x:c>
      <x:c r="F179" s="36" t="str">
        <x:v>Дозаказ</x:v>
      </x:c>
      <x:c r="G179" s="36" t="str">
        <x:v>Конвергенция абонента</x:v>
      </x:c>
      <x:c r="H179" s="49" t="n">
        <x:v>46251.833333333336</x:v>
      </x:c>
      <x:c r="I179" s="49" t="n">
        <x:v>46251.916666666664</x:v>
      </x:c>
      <x:c r="J179" s="36" t="str">
        <x:v>Академический</x:v>
      </x:c>
      <x:c r="K179" s="36" t="str">
        <x:v>Город Москва, пр-кт.60-летия Октября, д. 17</x:v>
      </x:c>
      <x:c r="L179" s="36" t="str"/>
      <x:c r="M179" s="36" t="str">
        <x:v>Нет</x:v>
      </x:c>
      <x:c r="N179" s="36" t="str">
        <x:v>INSTALL</x:v>
      </x:c>
      <x:c r="O179" s="36" t="n">
        <x:v>60</x:v>
      </x:c>
      <x:c r="P179" s="36" t="str">
        <x:v>NORMAL</x:v>
      </x:c>
      <x:c r="Q179" s="36" t="str">
        <x:v>ANY</x:v>
      </x:c>
      <x:c r="R179" s="36" t="str">
        <x:v>DIAG_SET|INSTALL_SET|CABLE_PACK</x:v>
      </x:c>
      <x:c r="S179" s="49" t="n">
        <x:v>46251.291666666664</x:v>
      </x:c>
      <x:c r="T179" s="37" t="b">
        <x:v>0</x:v>
      </x:c>
      <x:c r="U179" s="36" t="str">
        <x:v>PENDING</x:v>
      </x:c>
      <x:c r="V179" s="36"/>
      <x:c r="W179" s="36"/>
      <x:c r="X179" s="36" t="str">
        <x:v>needs_geocoding</x:v>
      </x:c>
    </x:row>
    <x:row r="180" ht="15" hidden="0" customHeight="1">
      <x:c r="A180" s="36" t="str">
        <x:v>CORE</x:v>
      </x:c>
      <x:c r="B180" s="36" t="str">
        <x:v>SOUTHCENTER-49105</x:v>
      </x:c>
      <x:c r="C180" s="36" t="str">
        <x:v>49105</x:v>
      </x:c>
      <x:c r="D180" s="36" t="str">
        <x:v>SOUTHCENTER</x:v>
      </x:c>
      <x:c r="E180" s="36" t="str">
        <x:v>Югоцентр</x:v>
      </x:c>
      <x:c r="F180" s="36" t="str">
        <x:v>Дозаказ</x:v>
      </x:c>
      <x:c r="G180" s="36" t="str">
        <x:v>Заказ подключения/Дозаказ оборудования</x:v>
      </x:c>
      <x:c r="H180" s="49" t="n">
        <x:v>46251.833333333336</x:v>
      </x:c>
      <x:c r="I180" s="49" t="n">
        <x:v>46251.916666666664</x:v>
      </x:c>
      <x:c r="J180" s="36" t="str">
        <x:v>Котловка</x:v>
      </x:c>
      <x:c r="K180" s="36" t="str">
        <x:v>Город Москва, ул.Ремизова, д. 15 к 2</x:v>
      </x:c>
      <x:c r="L180" s="36" t="str"/>
      <x:c r="M180" s="36" t="str">
        <x:v>Нет</x:v>
      </x:c>
      <x:c r="N180" s="36" t="str">
        <x:v>INSTALL</x:v>
      </x:c>
      <x:c r="O180" s="36" t="n">
        <x:v>75</x:v>
      </x:c>
      <x:c r="P180" s="36" t="str">
        <x:v>NORMAL</x:v>
      </x:c>
      <x:c r="Q180" s="36" t="str">
        <x:v>ANY</x:v>
      </x:c>
      <x:c r="R180" s="36" t="str">
        <x:v>DIAG_SET|INSTALL_SET|CABLE_PACK</x:v>
      </x:c>
      <x:c r="S180" s="49" t="n">
        <x:v>46251.291666666664</x:v>
      </x:c>
      <x:c r="T180" s="37" t="b">
        <x:v>0</x:v>
      </x:c>
      <x:c r="U180" s="36" t="str">
        <x:v>PENDING</x:v>
      </x:c>
      <x:c r="V180" s="36"/>
      <x:c r="W180" s="36"/>
      <x:c r="X180" s="36" t="str">
        <x:v>needs_geocoding</x:v>
      </x:c>
    </x:row>
    <x:row r="181" ht="15" hidden="0" customHeight="1">
      <x:c r="A181" s="36" t="str">
        <x:v>CORE</x:v>
      </x:c>
      <x:c r="B181" s="36" t="str">
        <x:v>SOUTHCENTER-27023</x:v>
      </x:c>
      <x:c r="C181" s="36" t="str">
        <x:v>27023</x:v>
      </x:c>
      <x:c r="D181" s="36" t="str">
        <x:v>SOUTHCENTER</x:v>
      </x:c>
      <x:c r="E181" s="36" t="str">
        <x:v>Югоцентр</x:v>
      </x:c>
      <x:c r="F181" s="36" t="str">
        <x:v>Локальная заявка</x:v>
      </x:c>
      <x:c r="G181" s="36" t="str">
        <x:v>Нет линка</x:v>
      </x:c>
      <x:c r="H181" s="49" t="n">
        <x:v>46251.75</x:v>
      </x:c>
      <x:c r="I181" s="49" t="n">
        <x:v>46251.833333333336</x:v>
      </x:c>
      <x:c r="J181" s="36" t="str">
        <x:v>Академический</x:v>
      </x:c>
      <x:c r="K181" s="36" t="str">
        <x:v>Город Москва, ул.Шверника, д. 5 к 2</x:v>
      </x:c>
      <x:c r="L181" s="36" t="str"/>
      <x:c r="M181" s="36" t="str">
        <x:v>Нет</x:v>
      </x:c>
      <x:c r="N181" s="36" t="str">
        <x:v>LOCAL</x:v>
      </x:c>
      <x:c r="O181" s="36" t="n">
        <x:v>45</x:v>
      </x:c>
      <x:c r="P181" s="36" t="str">
        <x:v>NORMAL</x:v>
      </x:c>
      <x:c r="Q181" s="36" t="str">
        <x:v>ANY</x:v>
      </x:c>
      <x:c r="R181" s="36" t="str">
        <x:v>DIAG_SET</x:v>
      </x:c>
      <x:c r="S181" s="49" t="n">
        <x:v>46251.291666666664</x:v>
      </x:c>
      <x:c r="T181" s="37" t="b">
        <x:v>0</x:v>
      </x:c>
      <x:c r="U181" s="36" t="str">
        <x:v>PENDING</x:v>
      </x:c>
      <x:c r="V181" s="36"/>
      <x:c r="W181" s="36"/>
      <x:c r="X181" s="36" t="str">
        <x:v>needs_geocoding</x:v>
      </x:c>
    </x:row>
    <x:row r="182" ht="15" hidden="0" customHeight="1">
      <x:c r="A182" s="36" t="str">
        <x:v>CORE</x:v>
      </x:c>
      <x:c r="B182" s="36" t="str">
        <x:v>SOUTHCENTER-26177</x:v>
      </x:c>
      <x:c r="C182" s="36" t="str">
        <x:v>26177</x:v>
      </x:c>
      <x:c r="D182" s="36" t="str">
        <x:v>SOUTHCENTER</x:v>
      </x:c>
      <x:c r="E182" s="36" t="str">
        <x:v>Югоцентр</x:v>
      </x:c>
      <x:c r="F182" s="36" t="str">
        <x:v>Локальная заявка</x:v>
      </x:c>
      <x:c r="G182" s="36" t="str">
        <x:v>Нет линка</x:v>
      </x:c>
      <x:c r="H182" s="49" t="n">
        <x:v>46251.833333333336</x:v>
      </x:c>
      <x:c r="I182" s="49" t="n">
        <x:v>46251.916666666664</x:v>
      </x:c>
      <x:c r="J182" s="36" t="str">
        <x:v>Нагатино - Садовники</x:v>
      </x:c>
      <x:c r="K182" s="36" t="str">
        <x:v>Город Москва, ул.Академика Миллионщикова, д. 13 к 1</x:v>
      </x:c>
      <x:c r="L182" s="36" t="str"/>
      <x:c r="M182" s="36" t="str">
        <x:v>Нет</x:v>
      </x:c>
      <x:c r="N182" s="36" t="str">
        <x:v>LOCAL</x:v>
      </x:c>
      <x:c r="O182" s="36" t="n">
        <x:v>45</x:v>
      </x:c>
      <x:c r="P182" s="36" t="str">
        <x:v>NORMAL</x:v>
      </x:c>
      <x:c r="Q182" s="36" t="str">
        <x:v>ANY</x:v>
      </x:c>
      <x:c r="R182" s="36" t="str">
        <x:v>DIAG_SET</x:v>
      </x:c>
      <x:c r="S182" s="49" t="n">
        <x:v>46251.291666666664</x:v>
      </x:c>
      <x:c r="T182" s="37" t="b">
        <x:v>0</x:v>
      </x:c>
      <x:c r="U182" s="36" t="str">
        <x:v>PENDING</x:v>
      </x:c>
      <x:c r="V182" s="36"/>
      <x:c r="W182" s="36"/>
      <x:c r="X182" s="36" t="str">
        <x:v>needs_geocoding</x:v>
      </x:c>
    </x:row>
    <x:row r="183" ht="15" hidden="0" customHeight="1">
      <x:c r="A183" s="36" t="str">
        <x:v>CORE</x:v>
      </x:c>
      <x:c r="B183" s="36" t="str">
        <x:v>SOUTHCENTER-77795</x:v>
      </x:c>
      <x:c r="C183" s="36" t="str">
        <x:v>77795</x:v>
      </x:c>
      <x:c r="D183" s="36" t="str">
        <x:v>SOUTHCENTER</x:v>
      </x:c>
      <x:c r="E183" s="36" t="str">
        <x:v>Югоцентр</x:v>
      </x:c>
      <x:c r="F183" s="36" t="str">
        <x:v>Локальная заявка</x:v>
      </x:c>
      <x:c r="G183" s="36" t="str">
        <x:v>TVE/ENT. Другие ошибки</x:v>
      </x:c>
      <x:c r="H183" s="49" t="n">
        <x:v>46251.75</x:v>
      </x:c>
      <x:c r="I183" s="49" t="n">
        <x:v>46251.833333333336</x:v>
      </x:c>
      <x:c r="J183" s="36" t="str">
        <x:v>Академический</x:v>
      </x:c>
      <x:c r="K183" s="36" t="str">
        <x:v>Город Москва, ул.Винокурова, д. 5/6 к 2</x:v>
      </x:c>
      <x:c r="L183" s="36" t="str"/>
      <x:c r="M183" s="36" t="str">
        <x:v>Нет</x:v>
      </x:c>
      <x:c r="N183" s="36" t="str">
        <x:v>LOCAL</x:v>
      </x:c>
      <x:c r="O183" s="36" t="n">
        <x:v>40</x:v>
      </x:c>
      <x:c r="P183" s="36" t="str">
        <x:v>NORMAL</x:v>
      </x:c>
      <x:c r="Q183" s="36" t="str">
        <x:v>ANY</x:v>
      </x:c>
      <x:c r="R183" s="36" t="str">
        <x:v>DIAG_SET</x:v>
      </x:c>
      <x:c r="S183" s="49" t="n">
        <x:v>46251.291666666664</x:v>
      </x:c>
      <x:c r="T183" s="37" t="b">
        <x:v>0</x:v>
      </x:c>
      <x:c r="U183" s="36" t="str">
        <x:v>PENDING</x:v>
      </x:c>
      <x:c r="V183" s="36"/>
      <x:c r="W183" s="36"/>
      <x:c r="X183" s="36" t="str">
        <x:v>needs_geocoding</x:v>
      </x:c>
    </x:row>
    <x:row r="184" ht="15" hidden="0" customHeight="1">
      <x:c r="A184" s="36" t="str">
        <x:v>CORE</x:v>
      </x:c>
      <x:c r="B184" s="36" t="str">
        <x:v>SOUTHCENTER-24132</x:v>
      </x:c>
      <x:c r="C184" s="36" t="str">
        <x:v>24132</x:v>
      </x:c>
      <x:c r="D184" s="36" t="str">
        <x:v>SOUTHCENTER</x:v>
      </x:c>
      <x:c r="E184" s="36" t="str">
        <x:v>Югоцентр</x:v>
      </x:c>
      <x:c r="F184" s="36" t="str">
        <x:v>Локальная заявка</x:v>
      </x:c>
      <x:c r="G184" s="36" t="str">
        <x:v>Нет линка</x:v>
      </x:c>
      <x:c r="H184" s="49" t="n">
        <x:v>46251.833333333336</x:v>
      </x:c>
      <x:c r="I184" s="49" t="n">
        <x:v>46251.916666666664</x:v>
      </x:c>
      <x:c r="J184" s="36" t="str">
        <x:v>Зюзино</x:v>
      </x:c>
      <x:c r="K184" s="36" t="str">
        <x:v>Город Москва, пр-кт.Балаклавский, д. 50</x:v>
      </x:c>
      <x:c r="L184" s="36" t="str"/>
      <x:c r="M184" s="36" t="str">
        <x:v>Нет</x:v>
      </x:c>
      <x:c r="N184" s="36" t="str">
        <x:v>LOCAL</x:v>
      </x:c>
      <x:c r="O184" s="36" t="n">
        <x:v>45</x:v>
      </x:c>
      <x:c r="P184" s="36" t="str">
        <x:v>NORMAL</x:v>
      </x:c>
      <x:c r="Q184" s="36" t="str">
        <x:v>ANY</x:v>
      </x:c>
      <x:c r="R184" s="36" t="str">
        <x:v>DIAG_SET</x:v>
      </x:c>
      <x:c r="S184" s="49" t="n">
        <x:v>46251.291666666664</x:v>
      </x:c>
      <x:c r="T184" s="37" t="b">
        <x:v>0</x:v>
      </x:c>
      <x:c r="U184" s="36" t="str">
        <x:v>PENDING</x:v>
      </x:c>
      <x:c r="V184" s="36"/>
      <x:c r="W184" s="36"/>
      <x:c r="X184" s="36" t="str">
        <x:v>needs_geocoding</x:v>
      </x:c>
    </x:row>
    <x:row r="185" ht="15" hidden="0" customHeight="1">
      <x:c r="A185" s="36" t="str">
        <x:v>CORE</x:v>
      </x:c>
      <x:c r="B185" s="36" t="str">
        <x:v>SOUTHCENTER-99841</x:v>
      </x:c>
      <x:c r="C185" s="36" t="str">
        <x:v>99841</x:v>
      </x:c>
      <x:c r="D185" s="36" t="str">
        <x:v>SOUTHCENTER</x:v>
      </x:c>
      <x:c r="E185" s="36" t="str">
        <x:v>Югоцентр</x:v>
      </x:c>
      <x:c r="F185" s="36" t="str">
        <x:v>Локальная заявка</x:v>
      </x:c>
      <x:c r="G185" s="36" t="str">
        <x:v>Нет линка</x:v>
      </x:c>
      <x:c r="H185" s="49" t="n">
        <x:v>46251.75</x:v>
      </x:c>
      <x:c r="I185" s="49" t="n">
        <x:v>46251.833333333336</x:v>
      </x:c>
      <x:c r="J185" s="36" t="str">
        <x:v>Нагорный</x:v>
      </x:c>
      <x:c r="K185" s="36" t="str">
        <x:v>Город Москва, б-р.Симферопольский, д. 27</x:v>
      </x:c>
      <x:c r="L185" s="36" t="str"/>
      <x:c r="M185" s="36" t="str">
        <x:v>Нет</x:v>
      </x:c>
      <x:c r="N185" s="36" t="str">
        <x:v>LOCAL</x:v>
      </x:c>
      <x:c r="O185" s="36" t="n">
        <x:v>45</x:v>
      </x:c>
      <x:c r="P185" s="36" t="str">
        <x:v>NORMAL</x:v>
      </x:c>
      <x:c r="Q185" s="36" t="str">
        <x:v>ANY</x:v>
      </x:c>
      <x:c r="R185" s="36" t="str">
        <x:v>DIAG_SET</x:v>
      </x:c>
      <x:c r="S185" s="49" t="n">
        <x:v>46251.291666666664</x:v>
      </x:c>
      <x:c r="T185" s="37" t="b">
        <x:v>0</x:v>
      </x:c>
      <x:c r="U185" s="36" t="str">
        <x:v>PENDING</x:v>
      </x:c>
      <x:c r="V185" s="36"/>
      <x:c r="W185" s="36"/>
      <x:c r="X185" s="36" t="str">
        <x:v>needs_geocoding</x:v>
      </x:c>
    </x:row>
    <x:row r="186" ht="15" hidden="0" customHeight="1">
      <x:c r="A186" s="36" t="str">
        <x:v>CORE</x:v>
      </x:c>
      <x:c r="B186" s="36" t="str">
        <x:v>SOUTHCENTER-20263</x:v>
      </x:c>
      <x:c r="C186" s="36" t="str">
        <x:v>20263</x:v>
      </x:c>
      <x:c r="D186" s="36" t="str">
        <x:v>SOUTHCENTER</x:v>
      </x:c>
      <x:c r="E186" s="36" t="str">
        <x:v>Югоцентр</x:v>
      </x:c>
      <x:c r="F186" s="36" t="str">
        <x:v>Локальная заявка</x:v>
      </x:c>
      <x:c r="G186" s="36" t="str">
        <x:v>Нет линка</x:v>
      </x:c>
      <x:c r="H186" s="49" t="n">
        <x:v>46251.416666666664</x:v>
      </x:c>
      <x:c r="I186" s="49" t="n">
        <x:v>46251.5</x:v>
      </x:c>
      <x:c r="J186" s="36" t="str">
        <x:v>Нагорный</x:v>
      </x:c>
      <x:c r="K186" s="36" t="str">
        <x:v>Город Москва, ул.Болотниковская, д. 9 к 2</x:v>
      </x:c>
      <x:c r="L186" s="36" t="str"/>
      <x:c r="M186" s="36" t="str">
        <x:v>Нет</x:v>
      </x:c>
      <x:c r="N186" s="36" t="str">
        <x:v>LOCAL</x:v>
      </x:c>
      <x:c r="O186" s="36" t="n">
        <x:v>45</x:v>
      </x:c>
      <x:c r="P186" s="36" t="str">
        <x:v>NORMAL</x:v>
      </x:c>
      <x:c r="Q186" s="36" t="str">
        <x:v>ANY</x:v>
      </x:c>
      <x:c r="R186" s="36" t="str">
        <x:v>DIAG_SET</x:v>
      </x:c>
      <x:c r="S186" s="49" t="n">
        <x:v>46251.291666666664</x:v>
      </x:c>
      <x:c r="T186" s="37" t="b">
        <x:v>0</x:v>
      </x:c>
      <x:c r="U186" s="36" t="str">
        <x:v>PENDING</x:v>
      </x:c>
      <x:c r="V186" s="36"/>
      <x:c r="W186" s="36"/>
      <x:c r="X186" s="36" t="str">
        <x:v>needs_geocoding</x:v>
      </x:c>
    </x:row>
    <x:row r="187" ht="15" hidden="0" customHeight="1">
      <x:c r="A187" s="36" t="str">
        <x:v>CORE</x:v>
      </x:c>
      <x:c r="B187" s="36" t="str">
        <x:v>SOUTHCENTER-51133</x:v>
      </x:c>
      <x:c r="C187" s="36" t="str">
        <x:v>51133</x:v>
      </x:c>
      <x:c r="D187" s="36" t="str">
        <x:v>SOUTHCENTER</x:v>
      </x:c>
      <x:c r="E187" s="36" t="str">
        <x:v>Югоцентр</x:v>
      </x:c>
      <x:c r="F187" s="36" t="str">
        <x:v>Локальная заявка</x:v>
      </x:c>
      <x:c r="G187" s="36" t="str">
        <x:v>Нет линка</x:v>
      </x:c>
      <x:c r="H187" s="49" t="n">
        <x:v>46251.5</x:v>
      </x:c>
      <x:c r="I187" s="49" t="n">
        <x:v>46251.583333333336</x:v>
      </x:c>
      <x:c r="J187" s="36" t="str">
        <x:v>Даниловский</x:v>
      </x:c>
      <x:c r="K187" s="36" t="str">
        <x:v>Город Москва, ул.Трофимова, д. 4А</x:v>
      </x:c>
      <x:c r="L187" s="36" t="str"/>
      <x:c r="M187" s="36" t="str">
        <x:v>Нет</x:v>
      </x:c>
      <x:c r="N187" s="36" t="str">
        <x:v>LOCAL</x:v>
      </x:c>
      <x:c r="O187" s="36" t="n">
        <x:v>45</x:v>
      </x:c>
      <x:c r="P187" s="36" t="str">
        <x:v>NORMAL</x:v>
      </x:c>
      <x:c r="Q187" s="36" t="str">
        <x:v>ANY</x:v>
      </x:c>
      <x:c r="R187" s="36" t="str">
        <x:v>DIAG_SET</x:v>
      </x:c>
      <x:c r="S187" s="49" t="n">
        <x:v>46251.291666666664</x:v>
      </x:c>
      <x:c r="T187" s="37" t="b">
        <x:v>0</x:v>
      </x:c>
      <x:c r="U187" s="36" t="str">
        <x:v>PENDING</x:v>
      </x:c>
      <x:c r="V187" s="36"/>
      <x:c r="W187" s="36"/>
      <x:c r="X187" s="36" t="str">
        <x:v>needs_geocoding</x:v>
      </x:c>
    </x:row>
    <x:row r="188" ht="15" hidden="0" customHeight="1">
      <x:c r="A188" s="36" t="str">
        <x:v>CORE</x:v>
      </x:c>
      <x:c r="B188" s="36" t="str">
        <x:v>SOUTHCENTER-90709</x:v>
      </x:c>
      <x:c r="C188" s="36" t="str">
        <x:v>90709</x:v>
      </x:c>
      <x:c r="D188" s="36" t="str">
        <x:v>SOUTHCENTER</x:v>
      </x:c>
      <x:c r="E188" s="36" t="str">
        <x:v>Югоцентр</x:v>
      </x:c>
      <x:c r="F188" s="36" t="str">
        <x:v>Локальная заявка</x:v>
      </x:c>
      <x:c r="G188" s="36" t="str">
        <x:v>Разрывы</x:v>
      </x:c>
      <x:c r="H188" s="49" t="n">
        <x:v>46251.666666666664</x:v>
      </x:c>
      <x:c r="I188" s="49" t="n">
        <x:v>46251.75</x:v>
      </x:c>
      <x:c r="J188" s="36" t="str">
        <x:v>Нагатинский Затон</x:v>
      </x:c>
      <x:c r="K188" s="36" t="str">
        <x:v>Город Москва, ул.Коломенская, д. 21</x:v>
      </x:c>
      <x:c r="L188" s="36" t="str"/>
      <x:c r="M188" s="36" t="str">
        <x:v>Нет</x:v>
      </x:c>
      <x:c r="N188" s="36" t="str">
        <x:v>LOCAL</x:v>
      </x:c>
      <x:c r="O188" s="36" t="n">
        <x:v>45</x:v>
      </x:c>
      <x:c r="P188" s="36" t="str">
        <x:v>NORMAL</x:v>
      </x:c>
      <x:c r="Q188" s="36" t="str">
        <x:v>ANY</x:v>
      </x:c>
      <x:c r="R188" s="36" t="str">
        <x:v>DIAG_SET</x:v>
      </x:c>
      <x:c r="S188" s="49" t="n">
        <x:v>46251.291666666664</x:v>
      </x:c>
      <x:c r="T188" s="37" t="b">
        <x:v>0</x:v>
      </x:c>
      <x:c r="U188" s="36" t="str">
        <x:v>PENDING</x:v>
      </x:c>
      <x:c r="V188" s="36"/>
      <x:c r="W188" s="36"/>
      <x:c r="X188" s="36" t="str">
        <x:v>needs_geocoding</x:v>
      </x:c>
    </x:row>
    <x:row r="189" ht="15" hidden="0" customHeight="1">
      <x:c r="A189" s="36" t="str">
        <x:v>CORE</x:v>
      </x:c>
      <x:c r="B189" s="36" t="str">
        <x:v>SOUTHCENTER-84074</x:v>
      </x:c>
      <x:c r="C189" s="36" t="str">
        <x:v>84074</x:v>
      </x:c>
      <x:c r="D189" s="36" t="str">
        <x:v>SOUTHCENTER</x:v>
      </x:c>
      <x:c r="E189" s="36" t="str">
        <x:v>Югоцентр</x:v>
      </x:c>
      <x:c r="F189" s="36" t="str">
        <x:v>Локальная заявка</x:v>
      </x:c>
      <x:c r="G189" s="36" t="str">
        <x:v>Нет линка</x:v>
      </x:c>
      <x:c r="H189" s="49" t="n">
        <x:v>46251.5</x:v>
      </x:c>
      <x:c r="I189" s="49" t="n">
        <x:v>46251.583333333336</x:v>
      </x:c>
      <x:c r="J189" s="36" t="str">
        <x:v>Нагатинский Затон</x:v>
      </x:c>
      <x:c r="K189" s="36" t="str">
        <x:v>Город Москва, наб.Нагатинская, д. 60 к 2</x:v>
      </x:c>
      <x:c r="L189" s="36" t="str"/>
      <x:c r="M189" s="36" t="str">
        <x:v>Нет</x:v>
      </x:c>
      <x:c r="N189" s="36" t="str">
        <x:v>LOCAL</x:v>
      </x:c>
      <x:c r="O189" s="36" t="n">
        <x:v>45</x:v>
      </x:c>
      <x:c r="P189" s="36" t="str">
        <x:v>NORMAL</x:v>
      </x:c>
      <x:c r="Q189" s="36" t="str">
        <x:v>ANY</x:v>
      </x:c>
      <x:c r="R189" s="36" t="str">
        <x:v>DIAG_SET</x:v>
      </x:c>
      <x:c r="S189" s="49" t="n">
        <x:v>46251.291666666664</x:v>
      </x:c>
      <x:c r="T189" s="37" t="b">
        <x:v>0</x:v>
      </x:c>
      <x:c r="U189" s="36" t="str">
        <x:v>PENDING</x:v>
      </x:c>
      <x:c r="V189" s="36"/>
      <x:c r="W189" s="36"/>
      <x:c r="X189" s="36" t="str">
        <x:v>needs_geocoding</x:v>
      </x:c>
    </x:row>
    <x:row r="190" ht="15" hidden="0" customHeight="1">
      <x:c r="A190" s="36" t="str">
        <x:v>CORE</x:v>
      </x:c>
      <x:c r="B190" s="36" t="str">
        <x:v>SOUTHCENTER-12263</x:v>
      </x:c>
      <x:c r="C190" s="36" t="str">
        <x:v>12263</x:v>
      </x:c>
      <x:c r="D190" s="36" t="str">
        <x:v>SOUTHCENTER</x:v>
      </x:c>
      <x:c r="E190" s="36" t="str">
        <x:v>Югоцентр</x:v>
      </x:c>
      <x:c r="F190" s="36" t="str">
        <x:v>Локальная заявка</x:v>
      </x:c>
      <x:c r="G190" s="36" t="str">
        <x:v>Нет линка</x:v>
      </x:c>
      <x:c r="H190" s="49" t="n">
        <x:v>46251.416666666664</x:v>
      </x:c>
      <x:c r="I190" s="49" t="n">
        <x:v>46251.5</x:v>
      </x:c>
      <x:c r="J190" s="36" t="str">
        <x:v>Нагатино - Садовники</x:v>
      </x:c>
      <x:c r="K190" s="36" t="str">
        <x:v>Город Москва, проезд.Коломенский, д. 27 к 3</x:v>
      </x:c>
      <x:c r="L190" s="36" t="str"/>
      <x:c r="M190" s="36" t="str">
        <x:v>Нет</x:v>
      </x:c>
      <x:c r="N190" s="36" t="str">
        <x:v>LOCAL</x:v>
      </x:c>
      <x:c r="O190" s="36" t="n">
        <x:v>45</x:v>
      </x:c>
      <x:c r="P190" s="36" t="str">
        <x:v>NORMAL</x:v>
      </x:c>
      <x:c r="Q190" s="36" t="str">
        <x:v>ANY</x:v>
      </x:c>
      <x:c r="R190" s="36" t="str">
        <x:v>DIAG_SET</x:v>
      </x:c>
      <x:c r="S190" s="49" t="n">
        <x:v>46251.291666666664</x:v>
      </x:c>
      <x:c r="T190" s="37" t="b">
        <x:v>0</x:v>
      </x:c>
      <x:c r="U190" s="36" t="str">
        <x:v>PENDING</x:v>
      </x:c>
      <x:c r="V190" s="36"/>
      <x:c r="W190" s="36"/>
      <x:c r="X190" s="36" t="str">
        <x:v>needs_geocoding</x:v>
      </x:c>
    </x:row>
    <x:row r="191" ht="15" hidden="0" customHeight="1">
      <x:c r="A191" s="36" t="str">
        <x:v>CORE</x:v>
      </x:c>
      <x:c r="B191" s="36" t="str">
        <x:v>SOUTHCENTER-95501</x:v>
      </x:c>
      <x:c r="C191" s="36" t="str">
        <x:v>95501</x:v>
      </x:c>
      <x:c r="D191" s="36" t="str">
        <x:v>SOUTHCENTER</x:v>
      </x:c>
      <x:c r="E191" s="36" t="str">
        <x:v>Югоцентр</x:v>
      </x:c>
      <x:c r="F191" s="36" t="str">
        <x:v>Локальная заявка</x:v>
      </x:c>
      <x:c r="G191" s="36" t="str">
        <x:v>Нет линка</x:v>
      </x:c>
      <x:c r="H191" s="49" t="n">
        <x:v>46251.833333333336</x:v>
      </x:c>
      <x:c r="I191" s="49" t="n">
        <x:v>46251.916666666664</x:v>
      </x:c>
      <x:c r="J191" s="36" t="str">
        <x:v>Нагатинский Затон</x:v>
      </x:c>
      <x:c r="K191" s="36" t="str">
        <x:v>Город Москва, ул.Затонная, д. 12 к 1</x:v>
      </x:c>
      <x:c r="L191" s="36" t="str"/>
      <x:c r="M191" s="36" t="str">
        <x:v>Нет</x:v>
      </x:c>
      <x:c r="N191" s="36" t="str">
        <x:v>LOCAL</x:v>
      </x:c>
      <x:c r="O191" s="36" t="n">
        <x:v>45</x:v>
      </x:c>
      <x:c r="P191" s="36" t="str">
        <x:v>NORMAL</x:v>
      </x:c>
      <x:c r="Q191" s="36" t="str">
        <x:v>ANY</x:v>
      </x:c>
      <x:c r="R191" s="36" t="str">
        <x:v>DIAG_SET</x:v>
      </x:c>
      <x:c r="S191" s="49" t="n">
        <x:v>46251.291666666664</x:v>
      </x:c>
      <x:c r="T191" s="37" t="b">
        <x:v>0</x:v>
      </x:c>
      <x:c r="U191" s="36" t="str">
        <x:v>PENDING</x:v>
      </x:c>
      <x:c r="V191" s="36"/>
      <x:c r="W191" s="36"/>
      <x:c r="X191" s="36" t="str">
        <x:v>needs_geocoding</x:v>
      </x:c>
    </x:row>
    <x:row r="192" ht="15" hidden="0" customHeight="1">
      <x:c r="A192" s="36" t="str">
        <x:v>CORE</x:v>
      </x:c>
      <x:c r="B192" s="36" t="str">
        <x:v>SOUTHCENTER-86002</x:v>
      </x:c>
      <x:c r="C192" s="36" t="str">
        <x:v>86002</x:v>
      </x:c>
      <x:c r="D192" s="36" t="str">
        <x:v>SOUTHCENTER</x:v>
      </x:c>
      <x:c r="E192" s="36" t="str">
        <x:v>Югоцентр</x:v>
      </x:c>
      <x:c r="F192" s="36" t="str">
        <x:v>Локальная заявка</x:v>
      </x:c>
      <x:c r="G192" s="36" t="str">
        <x:v>Нет линка</x:v>
      </x:c>
      <x:c r="H192" s="49" t="n">
        <x:v>46251.583333333336</x:v>
      </x:c>
      <x:c r="I192" s="49" t="n">
        <x:v>46251.666666666664</x:v>
      </x:c>
      <x:c r="J192" s="36" t="str">
        <x:v>Даниловский</x:v>
      </x:c>
      <x:c r="K192" s="36" t="str">
        <x:v>Город Москва, ул.Городская, д. 9</x:v>
      </x:c>
      <x:c r="L192" s="36" t="str"/>
      <x:c r="M192" s="36" t="str">
        <x:v>Нет</x:v>
      </x:c>
      <x:c r="N192" s="36" t="str">
        <x:v>LOCAL</x:v>
      </x:c>
      <x:c r="O192" s="36" t="n">
        <x:v>45</x:v>
      </x:c>
      <x:c r="P192" s="36" t="str">
        <x:v>NORMAL</x:v>
      </x:c>
      <x:c r="Q192" s="36" t="str">
        <x:v>ANY</x:v>
      </x:c>
      <x:c r="R192" s="36" t="str">
        <x:v>DIAG_SET</x:v>
      </x:c>
      <x:c r="S192" s="49" t="n">
        <x:v>46251.291666666664</x:v>
      </x:c>
      <x:c r="T192" s="37" t="b">
        <x:v>0</x:v>
      </x:c>
      <x:c r="U192" s="36" t="str">
        <x:v>PENDING</x:v>
      </x:c>
      <x:c r="V192" s="36"/>
      <x:c r="W192" s="36"/>
      <x:c r="X192" s="36" t="str">
        <x:v>needs_geocoding</x:v>
      </x:c>
    </x:row>
    <x:row r="193" ht="15" hidden="0" customHeight="1">
      <x:c r="A193" s="36" t="str">
        <x:v>CORE</x:v>
      </x:c>
      <x:c r="B193" s="36" t="str">
        <x:v>SOUTHCENTER-92618</x:v>
      </x:c>
      <x:c r="C193" s="36" t="str">
        <x:v>92618</x:v>
      </x:c>
      <x:c r="D193" s="36" t="str">
        <x:v>SOUTHCENTER</x:v>
      </x:c>
      <x:c r="E193" s="36" t="str">
        <x:v>Югоцентр</x:v>
      </x:c>
      <x:c r="F193" s="36" t="str">
        <x:v>Локальная заявка</x:v>
      </x:c>
      <x:c r="G193" s="36" t="str">
        <x:v>IP-адрес 169...</x:v>
      </x:c>
      <x:c r="H193" s="49" t="n">
        <x:v>46251.75</x:v>
      </x:c>
      <x:c r="I193" s="49" t="n">
        <x:v>46251.833333333336</x:v>
      </x:c>
      <x:c r="J193" s="36" t="str">
        <x:v>Донской</x:v>
      </x:c>
      <x:c r="K193" s="36" t="str">
        <x:v>Город Москва, пр-кт.Севастопольский, д. 9 к 1</x:v>
      </x:c>
      <x:c r="L193" s="36" t="str"/>
      <x:c r="M193" s="36" t="str">
        <x:v>Нет</x:v>
      </x:c>
      <x:c r="N193" s="36" t="str">
        <x:v>LOCAL</x:v>
      </x:c>
      <x:c r="O193" s="36" t="n">
        <x:v>40</x:v>
      </x:c>
      <x:c r="P193" s="36" t="str">
        <x:v>NORMAL</x:v>
      </x:c>
      <x:c r="Q193" s="36" t="str">
        <x:v>ANY</x:v>
      </x:c>
      <x:c r="R193" s="36" t="str">
        <x:v>DIAG_SET</x:v>
      </x:c>
      <x:c r="S193" s="49" t="n">
        <x:v>46251.291666666664</x:v>
      </x:c>
      <x:c r="T193" s="37" t="b">
        <x:v>0</x:v>
      </x:c>
      <x:c r="U193" s="36" t="str">
        <x:v>PENDING</x:v>
      </x:c>
      <x:c r="V193" s="36"/>
      <x:c r="W193" s="36"/>
      <x:c r="X193" s="36" t="str">
        <x:v>needs_geocoding</x:v>
      </x:c>
    </x:row>
    <x:row r="194" ht="15" hidden="0" customHeight="1">
      <x:c r="A194" s="36" t="str">
        <x:v>CORE</x:v>
      </x:c>
      <x:c r="B194" s="36" t="str">
        <x:v>SOUTHCENTER-26845</x:v>
      </x:c>
      <x:c r="C194" s="36" t="str">
        <x:v>26845</x:v>
      </x:c>
      <x:c r="D194" s="36" t="str">
        <x:v>SOUTHCENTER</x:v>
      </x:c>
      <x:c r="E194" s="36" t="str">
        <x:v>Югоцентр</x:v>
      </x:c>
      <x:c r="F194" s="36" t="str">
        <x:v>Локальная заявка</x:v>
      </x:c>
      <x:c r="G194" s="36" t="str">
        <x:v>Роутер. Замена техническим специалистом</x:v>
      </x:c>
      <x:c r="H194" s="49" t="n">
        <x:v>46251.5</x:v>
      </x:c>
      <x:c r="I194" s="49" t="n">
        <x:v>46251.583333333336</x:v>
      </x:c>
      <x:c r="J194" s="36" t="str">
        <x:v>Даниловский</x:v>
      </x:c>
      <x:c r="K194" s="36" t="str">
        <x:v>Город Москва, проезд.3-й Павелецкий, д. 7 к 2</x:v>
      </x:c>
      <x:c r="L194" s="36" t="str"/>
      <x:c r="M194" s="36" t="str">
        <x:v>Нет</x:v>
      </x:c>
      <x:c r="N194" s="36" t="str">
        <x:v>LOCAL</x:v>
      </x:c>
      <x:c r="O194" s="36" t="n">
        <x:v>45</x:v>
      </x:c>
      <x:c r="P194" s="36" t="str">
        <x:v>NORMAL</x:v>
      </x:c>
      <x:c r="Q194" s="36" t="str">
        <x:v>ANY</x:v>
      </x:c>
      <x:c r="R194" s="36" t="str">
        <x:v>DIAG_SET|ROUTER</x:v>
      </x:c>
      <x:c r="S194" s="49" t="n">
        <x:v>46251.291666666664</x:v>
      </x:c>
      <x:c r="T194" s="37" t="b">
        <x:v>0</x:v>
      </x:c>
      <x:c r="U194" s="36" t="str">
        <x:v>PENDING</x:v>
      </x:c>
      <x:c r="V194" s="36"/>
      <x:c r="W194" s="36"/>
      <x:c r="X194" s="36" t="str">
        <x:v>needs_geocoding</x:v>
      </x:c>
    </x:row>
    <x:row r="195" ht="15" hidden="0" customHeight="1">
      <x:c r="A195" s="36" t="str">
        <x:v>CORE</x:v>
      </x:c>
      <x:c r="B195" s="36" t="str">
        <x:v>SOUTHCENTER-80308</x:v>
      </x:c>
      <x:c r="C195" s="36" t="str">
        <x:v>80308</x:v>
      </x:c>
      <x:c r="D195" s="36" t="str">
        <x:v>SOUTHCENTER</x:v>
      </x:c>
      <x:c r="E195" s="36" t="str">
        <x:v>Югоцентр</x:v>
      </x:c>
      <x:c r="F195" s="36" t="str">
        <x:v>Локальная заявка</x:v>
      </x:c>
      <x:c r="G195" s="36" t="str">
        <x:v>IP-адрес 169...</x:v>
      </x:c>
      <x:c r="H195" s="49" t="n">
        <x:v>46251.416666666664</x:v>
      </x:c>
      <x:c r="I195" s="49" t="n">
        <x:v>46251.5</x:v>
      </x:c>
      <x:c r="J195" s="36" t="str">
        <x:v>Замоскворечье</x:v>
      </x:c>
      <x:c r="K195" s="36" t="str">
        <x:v>Город Москва, ул.Большая Серпуховская, д. 31 к 6</x:v>
      </x:c>
      <x:c r="L195" s="36" t="str"/>
      <x:c r="M195" s="36" t="str">
        <x:v>Нет</x:v>
      </x:c>
      <x:c r="N195" s="36" t="str">
        <x:v>LOCAL</x:v>
      </x:c>
      <x:c r="O195" s="36" t="n">
        <x:v>40</x:v>
      </x:c>
      <x:c r="P195" s="36" t="str">
        <x:v>NORMAL</x:v>
      </x:c>
      <x:c r="Q195" s="36" t="str">
        <x:v>ANY</x:v>
      </x:c>
      <x:c r="R195" s="36" t="str">
        <x:v>DIAG_SET</x:v>
      </x:c>
      <x:c r="S195" s="49" t="n">
        <x:v>46251.291666666664</x:v>
      </x:c>
      <x:c r="T195" s="37" t="b">
        <x:v>0</x:v>
      </x:c>
      <x:c r="U195" s="36" t="str">
        <x:v>PENDING</x:v>
      </x:c>
      <x:c r="V195" s="36"/>
      <x:c r="W195" s="36"/>
      <x:c r="X195" s="36" t="str">
        <x:v>needs_geocoding</x:v>
      </x:c>
    </x:row>
    <x:row r="196" ht="15" hidden="0" customHeight="1">
      <x:c r="A196" s="36" t="str">
        <x:v>CORE</x:v>
      </x:c>
      <x:c r="B196" s="36" t="str">
        <x:v>SOUTHCENTER-93276</x:v>
      </x:c>
      <x:c r="C196" s="36" t="str">
        <x:v>93276</x:v>
      </x:c>
      <x:c r="D196" s="36" t="str">
        <x:v>SOUTHCENTER</x:v>
      </x:c>
      <x:c r="E196" s="36" t="str">
        <x:v>Югоцентр</x:v>
      </x:c>
      <x:c r="F196" s="36" t="str">
        <x:v>Локальная заявка</x:v>
      </x:c>
      <x:c r="G196" s="36" t="str">
        <x:v>Разрывы</x:v>
      </x:c>
      <x:c r="H196" s="49" t="n">
        <x:v>46251.666666666664</x:v>
      </x:c>
      <x:c r="I196" s="49" t="n">
        <x:v>46251.75</x:v>
      </x:c>
      <x:c r="J196" s="36" t="str">
        <x:v>Даниловский</x:v>
      </x:c>
      <x:c r="K196" s="36" t="str">
        <x:v>Город Москва, ул.2-я Рощинская, д. 11</x:v>
      </x:c>
      <x:c r="L196" s="36" t="str"/>
      <x:c r="M196" s="36" t="str">
        <x:v>Нет</x:v>
      </x:c>
      <x:c r="N196" s="36" t="str">
        <x:v>LOCAL</x:v>
      </x:c>
      <x:c r="O196" s="36" t="n">
        <x:v>45</x:v>
      </x:c>
      <x:c r="P196" s="36" t="str">
        <x:v>NORMAL</x:v>
      </x:c>
      <x:c r="Q196" s="36" t="str">
        <x:v>ANY</x:v>
      </x:c>
      <x:c r="R196" s="36" t="str">
        <x:v>DIAG_SET</x:v>
      </x:c>
      <x:c r="S196" s="49" t="n">
        <x:v>46251.291666666664</x:v>
      </x:c>
      <x:c r="T196" s="37" t="b">
        <x:v>0</x:v>
      </x:c>
      <x:c r="U196" s="36" t="str">
        <x:v>PENDING</x:v>
      </x:c>
      <x:c r="V196" s="36"/>
      <x:c r="W196" s="36"/>
      <x:c r="X196" s="36" t="str">
        <x:v>needs_geocoding</x:v>
      </x:c>
    </x:row>
    <x:row r="197" ht="15" hidden="0" customHeight="1">
      <x:c r="A197" s="36" t="str">
        <x:v>CORE</x:v>
      </x:c>
      <x:c r="B197" s="36" t="str">
        <x:v>SOUTHCENTER-61311</x:v>
      </x:c>
      <x:c r="C197" s="36" t="str">
        <x:v>61311</x:v>
      </x:c>
      <x:c r="D197" s="36" t="str">
        <x:v>SOUTHCENTER</x:v>
      </x:c>
      <x:c r="E197" s="36" t="str">
        <x:v>Югоцентр</x:v>
      </x:c>
      <x:c r="F197" s="36" t="str">
        <x:v>Локальная заявка</x:v>
      </x:c>
      <x:c r="G197" s="36" t="str">
        <x:v>ТВ. Замена приставки техником</x:v>
      </x:c>
      <x:c r="H197" s="49" t="n">
        <x:v>46251.666666666664</x:v>
      </x:c>
      <x:c r="I197" s="49" t="n">
        <x:v>46251.75</x:v>
      </x:c>
      <x:c r="J197" s="36" t="str">
        <x:v>Даниловский</x:v>
      </x:c>
      <x:c r="K197" s="36" t="str">
        <x:v>Город Москва, пер.Ослябинский, д. 3</x:v>
      </x:c>
      <x:c r="L197" s="36" t="str"/>
      <x:c r="M197" s="36" t="str">
        <x:v>Нет</x:v>
      </x:c>
      <x:c r="N197" s="36" t="str">
        <x:v>LOCAL</x:v>
      </x:c>
      <x:c r="O197" s="36" t="n">
        <x:v>45</x:v>
      </x:c>
      <x:c r="P197" s="36" t="str">
        <x:v>NORMAL</x:v>
      </x:c>
      <x:c r="Q197" s="36" t="str">
        <x:v>ANY</x:v>
      </x:c>
      <x:c r="R197" s="36" t="str">
        <x:v>DIAG_SET|TV_BOX</x:v>
      </x:c>
      <x:c r="S197" s="49" t="n">
        <x:v>46251.291666666664</x:v>
      </x:c>
      <x:c r="T197" s="37" t="b">
        <x:v>0</x:v>
      </x:c>
      <x:c r="U197" s="36" t="str">
        <x:v>PENDING</x:v>
      </x:c>
      <x:c r="V197" s="36"/>
      <x:c r="W197" s="36"/>
      <x:c r="X197" s="36" t="str">
        <x:v>needs_geocoding</x:v>
      </x:c>
    </x:row>
    <x:row r="198" ht="15" hidden="0" customHeight="1">
      <x:c r="A198" s="36" t="str">
        <x:v>CORE</x:v>
      </x:c>
      <x:c r="B198" s="36" t="str">
        <x:v>SOUTHCENTER-46513</x:v>
      </x:c>
      <x:c r="C198" s="36" t="str">
        <x:v>46513</x:v>
      </x:c>
      <x:c r="D198" s="36" t="str">
        <x:v>SOUTHCENTER</x:v>
      </x:c>
      <x:c r="E198" s="36" t="str">
        <x:v>Югоцентр</x:v>
      </x:c>
      <x:c r="F198" s="36" t="str">
        <x:v>Локальная заявка</x:v>
      </x:c>
      <x:c r="G198" s="36" t="str">
        <x:v>Рост ошибок на порту</x:v>
      </x:c>
      <x:c r="H198" s="49" t="n">
        <x:v>46251.416666666664</x:v>
      </x:c>
      <x:c r="I198" s="49" t="n">
        <x:v>46251.5</x:v>
      </x:c>
      <x:c r="J198" s="36" t="str">
        <x:v>Академический</x:v>
      </x:c>
      <x:c r="K198" s="36" t="str">
        <x:v>Город Москва, ул.Шверника, д. 14/1 к 2</x:v>
      </x:c>
      <x:c r="L198" s="36" t="str"/>
      <x:c r="M198" s="36" t="str">
        <x:v>Нет</x:v>
      </x:c>
      <x:c r="N198" s="36" t="str">
        <x:v>LOCAL</x:v>
      </x:c>
      <x:c r="O198" s="36" t="n">
        <x:v>45</x:v>
      </x:c>
      <x:c r="P198" s="36" t="str">
        <x:v>NORMAL</x:v>
      </x:c>
      <x:c r="Q198" s="36" t="str">
        <x:v>ANY</x:v>
      </x:c>
      <x:c r="R198" s="36" t="str">
        <x:v>DIAG_SET</x:v>
      </x:c>
      <x:c r="S198" s="49" t="n">
        <x:v>46251.291666666664</x:v>
      </x:c>
      <x:c r="T198" s="37" t="b">
        <x:v>0</x:v>
      </x:c>
      <x:c r="U198" s="36" t="str">
        <x:v>PENDING</x:v>
      </x:c>
      <x:c r="V198" s="36"/>
      <x:c r="W198" s="36"/>
      <x:c r="X198" s="36" t="str">
        <x:v>needs_geocoding</x:v>
      </x:c>
    </x:row>
    <x:row r="199" ht="15" hidden="0" customHeight="1">
      <x:c r="A199" s="36" t="str">
        <x:v>CORE</x:v>
      </x:c>
      <x:c r="B199" s="36" t="str">
        <x:v>SOUTHCENTER-35265</x:v>
      </x:c>
      <x:c r="C199" s="36" t="str">
        <x:v>35265</x:v>
      </x:c>
      <x:c r="D199" s="36" t="str">
        <x:v>SOUTHCENTER</x:v>
      </x:c>
      <x:c r="E199" s="36" t="str">
        <x:v>Югоцентр</x:v>
      </x:c>
      <x:c r="F199" s="36" t="str">
        <x:v>Локальная заявка</x:v>
      </x:c>
      <x:c r="G199" s="36" t="str">
        <x:v>Работа с кабелем</x:v>
      </x:c>
      <x:c r="H199" s="49" t="n">
        <x:v>46251.666666666664</x:v>
      </x:c>
      <x:c r="I199" s="49" t="n">
        <x:v>46251.75</x:v>
      </x:c>
      <x:c r="J199" s="36" t="str">
        <x:v>Академический</x:v>
      </x:c>
      <x:c r="K199" s="36" t="str">
        <x:v>Город Москва, ул.Профсоюзная, д. 8 к 2</x:v>
      </x:c>
      <x:c r="L199" s="36" t="str"/>
      <x:c r="M199" s="36" t="str">
        <x:v>Нет</x:v>
      </x:c>
      <x:c r="N199" s="36" t="str">
        <x:v>LOCAL</x:v>
      </x:c>
      <x:c r="O199" s="36" t="n">
        <x:v>75</x:v>
      </x:c>
      <x:c r="P199" s="36" t="str">
        <x:v>NORMAL</x:v>
      </x:c>
      <x:c r="Q199" s="36" t="str">
        <x:v>ANY</x:v>
      </x:c>
      <x:c r="R199" s="36" t="str">
        <x:v>DIAG_SET|CABLE_SET|CABLE_PACK</x:v>
      </x:c>
      <x:c r="S199" s="49" t="n">
        <x:v>46251.291666666664</x:v>
      </x:c>
      <x:c r="T199" s="37" t="b">
        <x:v>0</x:v>
      </x:c>
      <x:c r="U199" s="36" t="str">
        <x:v>PENDING</x:v>
      </x:c>
      <x:c r="V199" s="36"/>
      <x:c r="W199" s="36"/>
      <x:c r="X199" s="36" t="str">
        <x:v>needs_geocoding</x:v>
      </x:c>
    </x:row>
    <x:row r="200" ht="15" hidden="0" customHeight="1">
      <x:c r="A200" s="36" t="str">
        <x:v>CORE</x:v>
      </x:c>
      <x:c r="B200" s="36" t="str">
        <x:v>SOUTHCENTER-13203</x:v>
      </x:c>
      <x:c r="C200" s="36" t="str">
        <x:v>13203</x:v>
      </x:c>
      <x:c r="D200" s="36" t="str">
        <x:v>SOUTHCENTER</x:v>
      </x:c>
      <x:c r="E200" s="36" t="str">
        <x:v>Югоцентр</x:v>
      </x:c>
      <x:c r="F200" s="36" t="str">
        <x:v>Локальная заявка</x:v>
      </x:c>
      <x:c r="G200" s="36" t="str">
        <x:v>ТВ. Замена приставки техником</x:v>
      </x:c>
      <x:c r="H200" s="49" t="n">
        <x:v>46251.583333333336</x:v>
      </x:c>
      <x:c r="I200" s="49" t="n">
        <x:v>46251.666666666664</x:v>
      </x:c>
      <x:c r="J200" s="36" t="str">
        <x:v>Академический</x:v>
      </x:c>
      <x:c r="K200" s="36" t="str">
        <x:v>Город Москва, пр-кт.Нахимовский, д. 50</x:v>
      </x:c>
      <x:c r="L200" s="36" t="str"/>
      <x:c r="M200" s="36" t="str">
        <x:v>Нет</x:v>
      </x:c>
      <x:c r="N200" s="36" t="str">
        <x:v>LOCAL</x:v>
      </x:c>
      <x:c r="O200" s="36" t="n">
        <x:v>45</x:v>
      </x:c>
      <x:c r="P200" s="36" t="str">
        <x:v>NORMAL</x:v>
      </x:c>
      <x:c r="Q200" s="36" t="str">
        <x:v>ANY</x:v>
      </x:c>
      <x:c r="R200" s="36" t="str">
        <x:v>DIAG_SET|TV_BOX</x:v>
      </x:c>
      <x:c r="S200" s="49" t="n">
        <x:v>46251.291666666664</x:v>
      </x:c>
      <x:c r="T200" s="37" t="b">
        <x:v>0</x:v>
      </x:c>
      <x:c r="U200" s="36" t="str">
        <x:v>PENDING</x:v>
      </x:c>
      <x:c r="V200" s="36"/>
      <x:c r="W200" s="36"/>
      <x:c r="X200" s="36" t="str">
        <x:v>needs_geocoding</x:v>
      </x:c>
    </x:row>
    <x:row r="201" ht="15" hidden="0" customHeight="1">
      <x:c r="A201" s="36" t="str">
        <x:v>CORE</x:v>
      </x:c>
      <x:c r="B201" s="36" t="str">
        <x:v>SOUTHCENTER-26896</x:v>
      </x:c>
      <x:c r="C201" s="36" t="str">
        <x:v>26896</x:v>
      </x:c>
      <x:c r="D201" s="36" t="str">
        <x:v>SOUTHCENTER</x:v>
      </x:c>
      <x:c r="E201" s="36" t="str">
        <x:v>Югоцентр</x:v>
      </x:c>
      <x:c r="F201" s="36" t="str">
        <x:v>Локальная заявка</x:v>
      </x:c>
      <x:c r="G201" s="36" t="str">
        <x:v>Переключение на Гбит/с</x:v>
      </x:c>
      <x:c r="H201" s="49" t="n">
        <x:v>46251.75</x:v>
      </x:c>
      <x:c r="I201" s="49" t="n">
        <x:v>46251.833333333336</x:v>
      </x:c>
      <x:c r="J201" s="36" t="str">
        <x:v>Зюзино</x:v>
      </x:c>
      <x:c r="K201" s="36" t="str">
        <x:v>Город Москва, б-р.Чонгарский, д. 22 к 2</x:v>
      </x:c>
      <x:c r="L201" s="36" t="str"/>
      <x:c r="M201" s="36" t="str">
        <x:v>Нет</x:v>
      </x:c>
      <x:c r="N201" s="36" t="str">
        <x:v>LOCAL</x:v>
      </x:c>
      <x:c r="O201" s="36" t="n">
        <x:v>60</x:v>
      </x:c>
      <x:c r="P201" s="36" t="str">
        <x:v>NORMAL</x:v>
      </x:c>
      <x:c r="Q201" s="36" t="str">
        <x:v>ANY</x:v>
      </x:c>
      <x:c r="R201" s="36" t="str">
        <x:v>DIAG_SET|INSTALL_SET</x:v>
      </x:c>
      <x:c r="S201" s="49" t="n">
        <x:v>46251.291666666664</x:v>
      </x:c>
      <x:c r="T201" s="37" t="b">
        <x:v>0</x:v>
      </x:c>
      <x:c r="U201" s="36" t="str">
        <x:v>PENDING</x:v>
      </x:c>
      <x:c r="V201" s="36"/>
      <x:c r="W201" s="36"/>
      <x:c r="X201" s="36" t="str">
        <x:v>needs_geocoding</x:v>
      </x:c>
    </x:row>
    <x:row r="202" ht="15" hidden="0" customHeight="1">
      <x:c r="A202" s="36" t="str">
        <x:v>CORE</x:v>
      </x:c>
      <x:c r="B202" s="36" t="str">
        <x:v>SOUTHCENTER-87819</x:v>
      </x:c>
      <x:c r="C202" s="36" t="str">
        <x:v>87819</x:v>
      </x:c>
      <x:c r="D202" s="36" t="str">
        <x:v>SOUTHCENTER</x:v>
      </x:c>
      <x:c r="E202" s="36" t="str">
        <x:v>Югоцентр</x:v>
      </x:c>
      <x:c r="F202" s="36" t="str">
        <x:v>Локальная заявка</x:v>
      </x:c>
      <x:c r="G202" s="36" t="str">
        <x:v>Переключение на Гбит/с</x:v>
      </x:c>
      <x:c r="H202" s="49" t="n">
        <x:v>46251.583333333336</x:v>
      </x:c>
      <x:c r="I202" s="49" t="n">
        <x:v>46251.666666666664</x:v>
      </x:c>
      <x:c r="J202" s="36" t="str">
        <x:v>Замоскворечье</x:v>
      </x:c>
      <x:c r="K202" s="36" t="str">
        <x:v>Город Москва, ул.Люсиновская, д. 4</x:v>
      </x:c>
      <x:c r="L202" s="36" t="str"/>
      <x:c r="M202" s="36" t="str">
        <x:v>Нет</x:v>
      </x:c>
      <x:c r="N202" s="36" t="str">
        <x:v>LOCAL</x:v>
      </x:c>
      <x:c r="O202" s="36" t="n">
        <x:v>60</x:v>
      </x:c>
      <x:c r="P202" s="36" t="str">
        <x:v>NORMAL</x:v>
      </x:c>
      <x:c r="Q202" s="36" t="str">
        <x:v>ANY</x:v>
      </x:c>
      <x:c r="R202" s="36" t="str">
        <x:v>DIAG_SET|INSTALL_SET</x:v>
      </x:c>
      <x:c r="S202" s="49" t="n">
        <x:v>46251.291666666664</x:v>
      </x:c>
      <x:c r="T202" s="37" t="b">
        <x:v>0</x:v>
      </x:c>
      <x:c r="U202" s="36" t="str">
        <x:v>PENDING</x:v>
      </x:c>
      <x:c r="V202" s="36"/>
      <x:c r="W202" s="36"/>
      <x:c r="X202" s="36" t="str">
        <x:v>needs_geocoding</x:v>
      </x:c>
    </x:row>
    <x:row r="203" ht="15" hidden="0" customHeight="1">
      <x:c r="A203" s="36" t="str">
        <x:v>CORE</x:v>
      </x:c>
      <x:c r="B203" s="36" t="str">
        <x:v>SOUTHCENTER-5406</x:v>
      </x:c>
      <x:c r="C203" s="36" t="str">
        <x:v>5406</x:v>
      </x:c>
      <x:c r="D203" s="36" t="str">
        <x:v>SOUTHCENTER</x:v>
      </x:c>
      <x:c r="E203" s="36" t="str">
        <x:v>Югоцентр</x:v>
      </x:c>
      <x:c r="F203" s="36" t="str">
        <x:v>Локальная заявка</x:v>
      </x:c>
      <x:c r="G203" s="36" t="str">
        <x:v>Переключение на Гбит/с</x:v>
      </x:c>
      <x:c r="H203" s="49" t="n">
        <x:v>46251.416666666664</x:v>
      </x:c>
      <x:c r="I203" s="49" t="n">
        <x:v>46251.5</x:v>
      </x:c>
      <x:c r="J203" s="36" t="str">
        <x:v>Котловка</x:v>
      </x:c>
      <x:c r="K203" s="36" t="str">
        <x:v>Город Москва, ул.Ремизова, д. 15 к 2</x:v>
      </x:c>
      <x:c r="L203" s="36" t="str"/>
      <x:c r="M203" s="36" t="str">
        <x:v>Нет</x:v>
      </x:c>
      <x:c r="N203" s="36" t="str">
        <x:v>LOCAL</x:v>
      </x:c>
      <x:c r="O203" s="36" t="n">
        <x:v>60</x:v>
      </x:c>
      <x:c r="P203" s="36" t="str">
        <x:v>NORMAL</x:v>
      </x:c>
      <x:c r="Q203" s="36" t="str">
        <x:v>ANY</x:v>
      </x:c>
      <x:c r="R203" s="36" t="str">
        <x:v>DIAG_SET|INSTALL_SET</x:v>
      </x:c>
      <x:c r="S203" s="49" t="n">
        <x:v>46251.291666666664</x:v>
      </x:c>
      <x:c r="T203" s="37" t="b">
        <x:v>0</x:v>
      </x:c>
      <x:c r="U203" s="36" t="str">
        <x:v>PENDING</x:v>
      </x:c>
      <x:c r="V203" s="36"/>
      <x:c r="W203" s="36"/>
      <x:c r="X203" s="36" t="str">
        <x:v>needs_geocoding</x:v>
      </x:c>
    </x:row>
    <x:row r="204" ht="15" hidden="0" customHeight="1">
      <x:c r="A204" s="36" t="str">
        <x:v>CORE</x:v>
      </x:c>
      <x:c r="B204" s="36" t="str">
        <x:v>SOUTHCENTER-86864</x:v>
      </x:c>
      <x:c r="C204" s="36" t="str">
        <x:v>86864</x:v>
      </x:c>
      <x:c r="D204" s="36" t="str">
        <x:v>SOUTHCENTER</x:v>
      </x:c>
      <x:c r="E204" s="36" t="str">
        <x:v>Югоцентр</x:v>
      </x:c>
      <x:c r="F204" s="36" t="str">
        <x:v>Локальная заявка</x:v>
      </x:c>
      <x:c r="G204" s="36" t="str">
        <x:v>Работа с кабелем</x:v>
      </x:c>
      <x:c r="H204" s="49" t="n">
        <x:v>46251.666666666664</x:v>
      </x:c>
      <x:c r="I204" s="49" t="n">
        <x:v>46251.75</x:v>
      </x:c>
      <x:c r="J204" s="36" t="str">
        <x:v>Нагорный</x:v>
      </x:c>
      <x:c r="K204" s="36" t="str">
        <x:v>Город Москва, б-р.Чонгарский, д. 1 к 4</x:v>
      </x:c>
      <x:c r="L204" s="36" t="str"/>
      <x:c r="M204" s="36" t="str">
        <x:v>Нет</x:v>
      </x:c>
      <x:c r="N204" s="36" t="str">
        <x:v>LOCAL</x:v>
      </x:c>
      <x:c r="O204" s="36" t="n">
        <x:v>75</x:v>
      </x:c>
      <x:c r="P204" s="36" t="str">
        <x:v>NORMAL</x:v>
      </x:c>
      <x:c r="Q204" s="36" t="str">
        <x:v>ANY</x:v>
      </x:c>
      <x:c r="R204" s="36" t="str">
        <x:v>DIAG_SET|CABLE_SET|CABLE_PACK</x:v>
      </x:c>
      <x:c r="S204" s="49" t="n">
        <x:v>46251.291666666664</x:v>
      </x:c>
      <x:c r="T204" s="37" t="b">
        <x:v>0</x:v>
      </x:c>
      <x:c r="U204" s="36" t="str">
        <x:v>PENDING</x:v>
      </x:c>
      <x:c r="V204" s="36"/>
      <x:c r="W204" s="36"/>
      <x:c r="X204" s="36" t="str">
        <x:v>needs_geocoding</x:v>
      </x:c>
    </x:row>
    <x:row r="205" ht="15" hidden="0" customHeight="1">
      <x:c r="A205" s="36" t="str">
        <x:v>CORE</x:v>
      </x:c>
      <x:c r="B205" s="36" t="str">
        <x:v>SOUTHCENTER-17896</x:v>
      </x:c>
      <x:c r="C205" s="36" t="str">
        <x:v>17896</x:v>
      </x:c>
      <x:c r="D205" s="36" t="str">
        <x:v>SOUTHCENTER</x:v>
      </x:c>
      <x:c r="E205" s="36" t="str">
        <x:v>Югоцентр</x:v>
      </x:c>
      <x:c r="F205" s="36" t="str">
        <x:v>Локальная заявка</x:v>
      </x:c>
      <x:c r="G205" s="36" t="str">
        <x:v>IP-адрес 169...</x:v>
      </x:c>
      <x:c r="H205" s="49" t="n">
        <x:v>46251.583333333336</x:v>
      </x:c>
      <x:c r="I205" s="49" t="n">
        <x:v>46251.666666666664</x:v>
      </x:c>
      <x:c r="J205" s="36" t="str">
        <x:v>Зюзино</x:v>
      </x:c>
      <x:c r="K205" s="36" t="str">
        <x:v>Город Москва, ул.Керченская, д. 10 к 2</x:v>
      </x:c>
      <x:c r="L205" s="36" t="str"/>
      <x:c r="M205" s="36" t="str">
        <x:v>Нет</x:v>
      </x:c>
      <x:c r="N205" s="36" t="str">
        <x:v>LOCAL</x:v>
      </x:c>
      <x:c r="O205" s="36" t="n">
        <x:v>40</x:v>
      </x:c>
      <x:c r="P205" s="36" t="str">
        <x:v>NORMAL</x:v>
      </x:c>
      <x:c r="Q205" s="36" t="str">
        <x:v>ANY</x:v>
      </x:c>
      <x:c r="R205" s="36" t="str">
        <x:v>DIAG_SET</x:v>
      </x:c>
      <x:c r="S205" s="49" t="n">
        <x:v>46251.291666666664</x:v>
      </x:c>
      <x:c r="T205" s="37" t="b">
        <x:v>0</x:v>
      </x:c>
      <x:c r="U205" s="36" t="str">
        <x:v>PENDING</x:v>
      </x:c>
      <x:c r="V205" s="36"/>
      <x:c r="W205" s="36"/>
      <x:c r="X205" s="36" t="str">
        <x:v>needs_geocoding</x:v>
      </x:c>
    </x:row>
    <x:row r="206" ht="15" hidden="0" customHeight="1">
      <x:c r="A206" s="36" t="str">
        <x:v>CORE</x:v>
      </x:c>
      <x:c r="B206" s="36" t="str">
        <x:v>SOUTHCENTER-18023</x:v>
      </x:c>
      <x:c r="C206" s="36" t="str">
        <x:v>18023</x:v>
      </x:c>
      <x:c r="D206" s="36" t="str">
        <x:v>SOUTHCENTER</x:v>
      </x:c>
      <x:c r="E206" s="36" t="str">
        <x:v>Югоцентр</x:v>
      </x:c>
      <x:c r="F206" s="36" t="str">
        <x:v>Глобальная проблема</x:v>
      </x:c>
      <x:c r="G206" s="36" t="str">
        <x:v>Информация</x:v>
      </x:c>
      <x:c r="H206" s="49" t="n">
        <x:v>46251.583333333336</x:v>
      </x:c>
      <x:c r="I206" s="49" t="n">
        <x:v>46251.666666666664</x:v>
      </x:c>
      <x:c r="J206" s="36" t="str">
        <x:v>Гагаринский</x:v>
      </x:c>
      <x:c r="K206" s="36" t="str">
        <x:v>г.Город Москва, пр-кт.Ленинский, д. 70/11</x:v>
      </x:c>
      <x:c r="L206" s="36" t="str"/>
      <x:c r="M206" s="36" t="str">
        <x:v>Нет</x:v>
      </x:c>
      <x:c r="N206" s="36" t="str">
        <x:v>EMERGENCY</x:v>
      </x:c>
      <x:c r="O206" s="36" t="n">
        <x:v>20</x:v>
      </x:c>
      <x:c r="P206" s="36" t="str">
        <x:v>NORMAL</x:v>
      </x:c>
      <x:c r="Q206" s="36" t="str">
        <x:v>ANY</x:v>
      </x:c>
      <x:c r="R206" s="36" t="str"/>
      <x:c r="S206" s="49" t="n">
        <x:v>46251.291666666664</x:v>
      </x:c>
      <x:c r="T206" s="37" t="b">
        <x:v>0</x:v>
      </x:c>
      <x:c r="U206" s="36" t="str">
        <x:v>PENDING</x:v>
      </x:c>
      <x:c r="V206" s="36"/>
      <x:c r="W206" s="36"/>
      <x:c r="X206" s="36" t="str">
        <x:v>needs_geocoding</x:v>
      </x:c>
    </x:row>
    <x:row r="207" ht="15" hidden="0" customHeight="1">
      <x:c r="A207" s="36" t="str">
        <x:v>CORE</x:v>
      </x:c>
      <x:c r="B207" s="36" t="str">
        <x:v>EAST-EVENT-001</x:v>
      </x:c>
      <x:c r="C207" s="36"/>
      <x:c r="D207" s="36" t="str">
        <x:v>EAST</x:v>
      </x:c>
      <x:c r="E207" s="36" t="str">
        <x:v>Восток</x:v>
      </x:c>
      <x:c r="F207" s="36" t="str">
        <x:v>Глобальная проблема</x:v>
      </x:c>
      <x:c r="G207" s="36" t="str">
        <x:v>Авария</x:v>
      </x:c>
      <x:c r="H207" s="49" t="n">
        <x:v>46251.583333333336</x:v>
      </x:c>
      <x:c r="I207" s="49" t="n">
        <x:v>46251.75</x:v>
      </x:c>
      <x:c r="J207" s="36" t="str">
        <x:v>Кузьминки</x:v>
      </x:c>
      <x:c r="K207" s="36" t="str">
        <x:v>Город Москва, пр-кт.Волгоградский, д. 128 к 5</x:v>
      </x:c>
      <x:c r="L207" s="36" t="str"/>
      <x:c r="M207" s="36" t="str">
        <x:v>Нет</x:v>
      </x:c>
      <x:c r="N207" s="36" t="str">
        <x:v>EMERGENCY</x:v>
      </x:c>
      <x:c r="O207" s="36" t="n">
        <x:v>90</x:v>
      </x:c>
      <x:c r="P207" s="36" t="str">
        <x:v>URGENT</x:v>
      </x:c>
      <x:c r="Q207" s="36" t="str">
        <x:v>ANY</x:v>
      </x:c>
      <x:c r="R207" s="36" t="str">
        <x:v>DIAG_SET|CABLE_SET|CABLE_PACK</x:v>
      </x:c>
      <x:c r="S207" s="49" t="n">
        <x:v>46251.5625</x:v>
      </x:c>
      <x:c r="T207" s="37" t="b">
        <x:v>1</x:v>
      </x:c>
      <x:c r="U207" s="36" t="str">
        <x:v>PENDING</x:v>
      </x:c>
      <x:c r="V207" s="36"/>
      <x:c r="W207" s="36"/>
      <x:c r="X207" s="36" t="str">
        <x:v>needs_geocoding</x:v>
      </x:c>
    </x:row>
  </x:sheetData>
  <x:conditionalFormatting sqref="P2:P207">
    <x:cfRule type="containsText" dxfId="0" priority="1" operator="containsText" text="URGENT"/>
  </x:conditionalFormatting>
  <x:conditionalFormatting sqref="X2:X207">
    <x:cfRule type="containsText" dxfId="1" priority="2" operator="containsText" text="needs_geocoding"/>
  </x:conditionalFormatting>
  <x:pageMargins left="0.7" right="0.7" top="0.75" bottom="0.75" header="0.3" footer="0.3"/>
  <x:tableParts count="1">
    <x:tablePart xmlns:r="http://schemas.openxmlformats.org/officeDocument/2006/relationships" r:id="Rfc462b7d767e47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28" hidden="0" customWidth="1"/>
    <x:col min="7" max="7" width="40" hidden="0" customWidth="1"/>
    <x:col min="8" max="8" width="21" hidden="0" customWidth="1"/>
    <x:col min="9" max="9" width="21" hidden="0" customWidth="1"/>
    <x:col min="10" max="10" width="14" hidden="0" customWidth="1"/>
    <x:col min="11" max="11" width="38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4" hidden="0" customWidth="1"/>
    <x:col min="18" max="18" width="38" hidden="0" customWidth="1"/>
    <x:col min="19" max="19" width="21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15" hidden="0" customHeight="1">
      <x:c r="A1" s="46" t="str">
        <x:v>scenario</x:v>
      </x:c>
      <x:c r="B1" s="47" t="str">
        <x:v>job_id</x:v>
      </x:c>
      <x:c r="C1" s="47" t="str">
        <x:v>source_job_id</x:v>
      </x:c>
      <x:c r="D1" s="47" t="str">
        <x:v>zone_id</x:v>
      </x:c>
      <x:c r="E1" s="47" t="str">
        <x:v>zone_name</x:v>
      </x:c>
      <x:c r="F1" s="47" t="str">
        <x:v>bk_type</x:v>
      </x:c>
      <x:c r="G1" s="47" t="str">
        <x:v>hd_type</x:v>
      </x:c>
      <x:c r="H1" s="47" t="str">
        <x:v>window_start</x:v>
      </x:c>
      <x:c r="I1" s="47" t="str">
        <x:v>window_end</x:v>
      </x:c>
      <x:c r="J1" s="47" t="str">
        <x:v>district</x:v>
      </x:c>
      <x:c r="K1" s="47" t="str">
        <x:v>address</x:v>
      </x:c>
      <x:c r="L1" s="47" t="str">
        <x:v>connection_type</x:v>
      </x:c>
      <x:c r="M1" s="47" t="str">
        <x:v>gigabit_required</x:v>
      </x:c>
      <x:c r="N1" s="47" t="str">
        <x:v>required_skill</x:v>
      </x:c>
      <x:c r="O1" s="47" t="str">
        <x:v>service_duration_min</x:v>
      </x:c>
      <x:c r="P1" s="47" t="str">
        <x:v>priority</x:v>
      </x:c>
      <x:c r="Q1" s="47" t="str">
        <x:v>required_transport</x:v>
      </x:c>
      <x:c r="R1" s="47" t="str">
        <x:v>required_equipment</x:v>
      </x:c>
      <x:c r="S1" s="47" t="str">
        <x:v>created_at</x:v>
      </x:c>
      <x:c r="T1" s="47" t="str">
        <x:v>is_event_job</x:v>
      </x:c>
      <x:c r="U1" s="47" t="str">
        <x:v>status</x:v>
      </x:c>
      <x:c r="V1" s="47" t="str">
        <x:v>latitude</x:v>
      </x:c>
      <x:c r="W1" s="47" t="str">
        <x:v>longitude</x:v>
      </x:c>
      <x:c r="X1" s="48" t="str">
        <x:v>geocode_status</x:v>
      </x:c>
    </x:row>
    <x:row r="2" ht="15" hidden="0" customHeight="1">
      <x:c r="A2" s="36" t="str">
        <x:v>STRESS</x:v>
      </x:c>
      <x:c r="B2" s="36" t="str">
        <x:v>EAST-74198</x:v>
      </x:c>
      <x:c r="C2" s="36" t="str">
        <x:v>74198</x:v>
      </x:c>
      <x:c r="D2" s="36" t="str">
        <x:v>EAST</x:v>
      </x:c>
      <x:c r="E2" s="36" t="str">
        <x:v>Восток</x:v>
      </x:c>
      <x:c r="F2" s="36" t="str">
        <x:v>Подключение</x:v>
      </x:c>
      <x:c r="G2" s="36" t="str">
        <x:v>Конвергенция абонента</x:v>
      </x:c>
      <x:c r="H2" s="49" t="n">
        <x:v>46251.833333333336</x:v>
      </x:c>
      <x:c r="I2" s="49" t="n">
        <x:v>46251.916666666664</x:v>
      </x:c>
      <x:c r="J2" s="36" t="str">
        <x:v>Кузьминки</x:v>
      </x:c>
      <x:c r="K2" s="36" t="str">
        <x:v>Город Москва, пр-кт.Волгоградский, д. 128 к 5</x:v>
      </x:c>
      <x:c r="L2" s="36" t="str">
        <x:v>FMC</x:v>
      </x:c>
      <x:c r="M2" s="36" t="str">
        <x:v>Нет</x:v>
      </x:c>
      <x:c r="N2" s="36" t="str">
        <x:v>INSTALL</x:v>
      </x:c>
      <x:c r="O2" s="36" t="n">
        <x:v>60</x:v>
      </x:c>
      <x:c r="P2" s="36" t="str">
        <x:v>NORMAL</x:v>
      </x:c>
      <x:c r="Q2" s="36" t="str">
        <x:v>ANY</x:v>
      </x:c>
      <x:c r="R2" s="36" t="str">
        <x:v>DIAG_SET|INSTALL_SET|CABLE_PACK</x:v>
      </x:c>
      <x:c r="S2" s="49" t="n">
        <x:v>46251.291666666664</x:v>
      </x:c>
      <x:c r="T2" s="37" t="b">
        <x:v>0</x:v>
      </x:c>
      <x:c r="U2" s="36" t="str">
        <x:v>PENDING</x:v>
      </x:c>
      <x:c r="V2" s="36"/>
      <x:c r="W2" s="36"/>
      <x:c r="X2" s="36" t="str">
        <x:v>needs_geocoding</x:v>
      </x:c>
    </x:row>
    <x:row r="3" ht="15" hidden="0" customHeight="1">
      <x:c r="A3" s="36" t="str">
        <x:v>STRESS</x:v>
      </x:c>
      <x:c r="B3" s="36" t="str">
        <x:v>EAST-86160</x:v>
      </x:c>
      <x:c r="C3" s="36" t="str">
        <x:v>86160</x:v>
      </x:c>
      <x:c r="D3" s="36" t="str">
        <x:v>EAST</x:v>
      </x:c>
      <x:c r="E3" s="36" t="str">
        <x:v>Восток</x:v>
      </x:c>
      <x:c r="F3" s="36" t="str">
        <x:v>Подключение</x:v>
      </x:c>
      <x:c r="G3" s="36" t="str">
        <x:v>Конвергенция абонента</x:v>
      </x:c>
      <x:c r="H3" s="49" t="n">
        <x:v>46251.75</x:v>
      </x:c>
      <x:c r="I3" s="49" t="n">
        <x:v>46251.833333333336</x:v>
      </x:c>
      <x:c r="J3" s="36" t="str">
        <x:v>Таганский</x:v>
      </x:c>
      <x:c r="K3" s="36" t="str">
        <x:v>Город Москва, пер.Маяковского, д. 2</x:v>
      </x:c>
      <x:c r="L3" s="36" t="str">
        <x:v>FMC</x:v>
      </x:c>
      <x:c r="M3" s="36" t="str">
        <x:v>Нет</x:v>
      </x:c>
      <x:c r="N3" s="36" t="str">
        <x:v>INSTALL</x:v>
      </x:c>
      <x:c r="O3" s="36" t="n">
        <x:v>60</x:v>
      </x:c>
      <x:c r="P3" s="36" t="str">
        <x:v>NORMAL</x:v>
      </x:c>
      <x:c r="Q3" s="36" t="str">
        <x:v>ANY</x:v>
      </x:c>
      <x:c r="R3" s="36" t="str">
        <x:v>DIAG_SET|INSTALL_SET|CABLE_PACK</x:v>
      </x:c>
      <x:c r="S3" s="49" t="n">
        <x:v>46251.291666666664</x:v>
      </x:c>
      <x:c r="T3" s="37" t="b">
        <x:v>0</x:v>
      </x:c>
      <x:c r="U3" s="36" t="str">
        <x:v>PENDING</x:v>
      </x:c>
      <x:c r="V3" s="36"/>
      <x:c r="W3" s="36"/>
      <x:c r="X3" s="36" t="str">
        <x:v>needs_geocoding</x:v>
      </x:c>
    </x:row>
    <x:row r="4" ht="15" hidden="0" customHeight="1">
      <x:c r="A4" s="36" t="str">
        <x:v>STRESS</x:v>
      </x:c>
      <x:c r="B4" s="36" t="str">
        <x:v>EAST-50104</x:v>
      </x:c>
      <x:c r="C4" s="36" t="str">
        <x:v>50104</x:v>
      </x:c>
      <x:c r="D4" s="36" t="str">
        <x:v>EAST</x:v>
      </x:c>
      <x:c r="E4" s="36" t="str">
        <x:v>Восток</x:v>
      </x:c>
      <x:c r="F4" s="36" t="str">
        <x:v>Подключение</x:v>
      </x:c>
      <x:c r="G4" s="36" t="str">
        <x:v>Заявка на подключение</x:v>
      </x:c>
      <x:c r="H4" s="49" t="n">
        <x:v>46251.75</x:v>
      </x:c>
      <x:c r="I4" s="49" t="n">
        <x:v>46251.833333333336</x:v>
      </x:c>
      <x:c r="J4" s="36" t="str">
        <x:v>Текстильщики</x:v>
      </x:c>
      <x:c r="K4" s="36" t="str">
        <x:v>Город Москва, ул.Грайвороновская, д. 10 к 2</x:v>
      </x:c>
      <x:c r="L4" s="36" t="str"/>
      <x:c r="M4" s="36" t="str">
        <x:v>Да</x:v>
      </x:c>
      <x:c r="N4" s="36" t="str">
        <x:v>INSTALL</x:v>
      </x:c>
      <x:c r="O4" s="36" t="n">
        <x:v>90</x:v>
      </x:c>
      <x:c r="P4" s="36" t="str">
        <x:v>NORMAL</x:v>
      </x:c>
      <x:c r="Q4" s="36" t="str">
        <x:v>CAR</x:v>
      </x:c>
      <x:c r="R4" s="36" t="str">
        <x:v>DIAG_SET|INSTALL_SET|CABLE_PACK|ONT_GIGABIT</x:v>
      </x:c>
      <x:c r="S4" s="49" t="n">
        <x:v>46251.291666666664</x:v>
      </x:c>
      <x:c r="T4" s="37" t="b">
        <x:v>0</x:v>
      </x:c>
      <x:c r="U4" s="36" t="str">
        <x:v>PENDING</x:v>
      </x:c>
      <x:c r="V4" s="36"/>
      <x:c r="W4" s="36"/>
      <x:c r="X4" s="36" t="str">
        <x:v>needs_geocoding</x:v>
      </x:c>
    </x:row>
    <x:row r="5" ht="15" hidden="0" customHeight="1">
      <x:c r="A5" s="36" t="str">
        <x:v>STRESS</x:v>
      </x:c>
      <x:c r="B5" s="36" t="str">
        <x:v>EAST-46393</x:v>
      </x:c>
      <x:c r="C5" s="36" t="str">
        <x:v>46393</x:v>
      </x:c>
      <x:c r="D5" s="36" t="str">
        <x:v>EAST</x:v>
      </x:c>
      <x:c r="E5" s="36" t="str">
        <x:v>Восток</x:v>
      </x:c>
      <x:c r="F5" s="36" t="str">
        <x:v>Подключение</x:v>
      </x:c>
      <x:c r="G5" s="36" t="str">
        <x:v>Конвергенция абонента</x:v>
      </x:c>
      <x:c r="H5" s="49" t="n">
        <x:v>46251.833333333336</x:v>
      </x:c>
      <x:c r="I5" s="49" t="n">
        <x:v>46251.916666666664</x:v>
      </x:c>
      <x:c r="J5" s="36" t="str">
        <x:v>Рязанский</x:v>
      </x:c>
      <x:c r="K5" s="36" t="str">
        <x:v>Город Москва, ул.Михайлова, д. 14</x:v>
      </x:c>
      <x:c r="L5" s="36" t="str">
        <x:v>FMC</x:v>
      </x:c>
      <x:c r="M5" s="36" t="str">
        <x:v>Нет</x:v>
      </x:c>
      <x:c r="N5" s="36" t="str">
        <x:v>INSTALL</x:v>
      </x:c>
      <x:c r="O5" s="36" t="n">
        <x:v>60</x:v>
      </x:c>
      <x:c r="P5" s="36" t="str">
        <x:v>NORMAL</x:v>
      </x:c>
      <x:c r="Q5" s="36" t="str">
        <x:v>ANY</x:v>
      </x:c>
      <x:c r="R5" s="36" t="str">
        <x:v>DIAG_SET|INSTALL_SET|CABLE_PACK</x:v>
      </x:c>
      <x:c r="S5" s="49" t="n">
        <x:v>46251.291666666664</x:v>
      </x:c>
      <x:c r="T5" s="37" t="b">
        <x:v>0</x:v>
      </x:c>
      <x:c r="U5" s="36" t="str">
        <x:v>PENDING</x:v>
      </x:c>
      <x:c r="V5" s="36"/>
      <x:c r="W5" s="36"/>
      <x:c r="X5" s="36" t="str">
        <x:v>needs_geocoding</x:v>
      </x:c>
    </x:row>
    <x:row r="6" ht="15" hidden="0" customHeight="1">
      <x:c r="A6" s="36" t="str">
        <x:v>STRESS</x:v>
      </x:c>
      <x:c r="B6" s="36" t="str">
        <x:v>EAST-10135</x:v>
      </x:c>
      <x:c r="C6" s="36" t="str">
        <x:v>10135</x:v>
      </x:c>
      <x:c r="D6" s="36" t="str">
        <x:v>EAST</x:v>
      </x:c>
      <x:c r="E6" s="36" t="str">
        <x:v>Восток</x:v>
      </x:c>
      <x:c r="F6" s="36" t="str">
        <x:v>Подключение</x:v>
      </x:c>
      <x:c r="G6" s="36" t="str">
        <x:v>Конвергенция абонента</x:v>
      </x:c>
      <x:c r="H6" s="49" t="n">
        <x:v>46251.75</x:v>
      </x:c>
      <x:c r="I6" s="49" t="n">
        <x:v>46251.833333333336</x:v>
      </x:c>
      <x:c r="J6" s="36" t="str">
        <x:v>Рязанский</x:v>
      </x:c>
      <x:c r="K6" s="36" t="str">
        <x:v>Город Москва, ул.3-я Институтская, д. 5 к 2</x:v>
      </x:c>
      <x:c r="L6" s="36" t="str">
        <x:v>FMC</x:v>
      </x:c>
      <x:c r="M6" s="36" t="str">
        <x:v>Нет</x:v>
      </x:c>
      <x:c r="N6" s="36" t="str">
        <x:v>INSTALL</x:v>
      </x:c>
      <x:c r="O6" s="36" t="n">
        <x:v>60</x:v>
      </x:c>
      <x:c r="P6" s="36" t="str">
        <x:v>NORMAL</x:v>
      </x:c>
      <x:c r="Q6" s="36" t="str">
        <x:v>ANY</x:v>
      </x:c>
      <x:c r="R6" s="36" t="str">
        <x:v>DIAG_SET|INSTALL_SET|CABLE_PACK</x:v>
      </x:c>
      <x:c r="S6" s="49" t="n">
        <x:v>46251.291666666664</x:v>
      </x:c>
      <x:c r="T6" s="37" t="b">
        <x:v>0</x:v>
      </x:c>
      <x:c r="U6" s="36" t="str">
        <x:v>PENDING</x:v>
      </x:c>
      <x:c r="V6" s="36"/>
      <x:c r="W6" s="36"/>
      <x:c r="X6" s="36" t="str">
        <x:v>needs_geocoding</x:v>
      </x:c>
    </x:row>
    <x:row r="7" ht="15" hidden="0" customHeight="1">
      <x:c r="A7" s="36" t="str">
        <x:v>STRESS</x:v>
      </x:c>
      <x:c r="B7" s="36" t="str">
        <x:v>EAST-18754</x:v>
      </x:c>
      <x:c r="C7" s="36" t="str">
        <x:v>18754</x:v>
      </x:c>
      <x:c r="D7" s="36" t="str">
        <x:v>EAST</x:v>
      </x:c>
      <x:c r="E7" s="36" t="str">
        <x:v>Восток</x:v>
      </x:c>
      <x:c r="F7" s="36" t="str">
        <x:v>Подключение</x:v>
      </x:c>
      <x:c r="G7" s="36" t="str">
        <x:v>Конвергенция абонента</x:v>
      </x:c>
      <x:c r="H7" s="49" t="n">
        <x:v>46251.75</x:v>
      </x:c>
      <x:c r="I7" s="49" t="n">
        <x:v>46251.833333333336</x:v>
      </x:c>
      <x:c r="J7" s="36" t="str">
        <x:v>Рязанский</x:v>
      </x:c>
      <x:c r="K7" s="36" t="str">
        <x:v>Город Москва, ул.1-я Новокузьминская, д. 16 к 1</x:v>
      </x:c>
      <x:c r="L7" s="36" t="str">
        <x:v>FMC</x:v>
      </x:c>
      <x:c r="M7" s="36" t="str">
        <x:v>Нет</x:v>
      </x:c>
      <x:c r="N7" s="36" t="str">
        <x:v>INSTALL</x:v>
      </x:c>
      <x:c r="O7" s="36" t="n">
        <x:v>60</x:v>
      </x:c>
      <x:c r="P7" s="36" t="str">
        <x:v>NORMAL</x:v>
      </x:c>
      <x:c r="Q7" s="36" t="str">
        <x:v>ANY</x:v>
      </x:c>
      <x:c r="R7" s="36" t="str">
        <x:v>DIAG_SET|INSTALL_SET|CABLE_PACK</x:v>
      </x:c>
      <x:c r="S7" s="49" t="n">
        <x:v>46251.291666666664</x:v>
      </x:c>
      <x:c r="T7" s="37" t="b">
        <x:v>0</x:v>
      </x:c>
      <x:c r="U7" s="36" t="str">
        <x:v>PENDING</x:v>
      </x:c>
      <x:c r="V7" s="36"/>
      <x:c r="W7" s="36"/>
      <x:c r="X7" s="36" t="str">
        <x:v>needs_geocoding</x:v>
      </x:c>
    </x:row>
    <x:row r="8" ht="15" hidden="0" customHeight="1">
      <x:c r="A8" s="36" t="str">
        <x:v>STRESS</x:v>
      </x:c>
      <x:c r="B8" s="36" t="str">
        <x:v>EAST-84627</x:v>
      </x:c>
      <x:c r="C8" s="36" t="str">
        <x:v>84627</x:v>
      </x:c>
      <x:c r="D8" s="36" t="str">
        <x:v>EAST</x:v>
      </x:c>
      <x:c r="E8" s="36" t="str">
        <x:v>Восток</x:v>
      </x:c>
      <x:c r="F8" s="36" t="str">
        <x:v>Подключение</x:v>
      </x:c>
      <x:c r="G8" s="36" t="str">
        <x:v>Конвергенция абонента</x:v>
      </x:c>
      <x:c r="H8" s="49" t="n">
        <x:v>46251.833333333336</x:v>
      </x:c>
      <x:c r="I8" s="49" t="n">
        <x:v>46251.916666666664</x:v>
      </x:c>
      <x:c r="J8" s="36" t="str">
        <x:v>Кузьминки</x:v>
      </x:c>
      <x:c r="K8" s="36" t="str">
        <x:v>Город Москва, ул.Окская, д. 32</x:v>
      </x:c>
      <x:c r="L8" s="36" t="str">
        <x:v>FMC</x:v>
      </x:c>
      <x:c r="M8" s="36" t="str">
        <x:v>Нет</x:v>
      </x:c>
      <x:c r="N8" s="36" t="str">
        <x:v>INSTALL</x:v>
      </x:c>
      <x:c r="O8" s="36" t="n">
        <x:v>60</x:v>
      </x:c>
      <x:c r="P8" s="36" t="str">
        <x:v>NORMAL</x:v>
      </x:c>
      <x:c r="Q8" s="36" t="str">
        <x:v>ANY</x:v>
      </x:c>
      <x:c r="R8" s="36" t="str">
        <x:v>DIAG_SET|INSTALL_SET|CABLE_PACK</x:v>
      </x:c>
      <x:c r="S8" s="49" t="n">
        <x:v>46251.291666666664</x:v>
      </x:c>
      <x:c r="T8" s="37" t="b">
        <x:v>0</x:v>
      </x:c>
      <x:c r="U8" s="36" t="str">
        <x:v>PENDING</x:v>
      </x:c>
      <x:c r="V8" s="36"/>
      <x:c r="W8" s="36"/>
      <x:c r="X8" s="36" t="str">
        <x:v>needs_geocoding</x:v>
      </x:c>
    </x:row>
    <x:row r="9" ht="15" hidden="0" customHeight="1">
      <x:c r="A9" s="36" t="str">
        <x:v>STRESS</x:v>
      </x:c>
      <x:c r="B9" s="36" t="str">
        <x:v>EAST-61540</x:v>
      </x:c>
      <x:c r="C9" s="36" t="str">
        <x:v>61540</x:v>
      </x:c>
      <x:c r="D9" s="36" t="str">
        <x:v>EAST</x:v>
      </x:c>
      <x:c r="E9" s="36" t="str">
        <x:v>Восток</x:v>
      </x:c>
      <x:c r="F9" s="36" t="str">
        <x:v>Подключение</x:v>
      </x:c>
      <x:c r="G9" s="36" t="str">
        <x:v>Конвергенция абонента</x:v>
      </x:c>
      <x:c r="H9" s="49" t="n">
        <x:v>46251.666666666664</x:v>
      </x:c>
      <x:c r="I9" s="49" t="n">
        <x:v>46251.75</x:v>
      </x:c>
      <x:c r="J9" s="36" t="str">
        <x:v>Кузьминки</x:v>
      </x:c>
      <x:c r="K9" s="36" t="str">
        <x:v>Город Москва, ул.Юных Ленинцев, д. 84</x:v>
      </x:c>
      <x:c r="L9" s="36" t="str">
        <x:v>FMC</x:v>
      </x:c>
      <x:c r="M9" s="36" t="str">
        <x:v>Нет</x:v>
      </x:c>
      <x:c r="N9" s="36" t="str">
        <x:v>INSTALL</x:v>
      </x:c>
      <x:c r="O9" s="36" t="n">
        <x:v>60</x:v>
      </x:c>
      <x:c r="P9" s="36" t="str">
        <x:v>NORMAL</x:v>
      </x:c>
      <x:c r="Q9" s="36" t="str">
        <x:v>ANY</x:v>
      </x:c>
      <x:c r="R9" s="36" t="str">
        <x:v>DIAG_SET|INSTALL_SET|CABLE_PACK</x:v>
      </x:c>
      <x:c r="S9" s="49" t="n">
        <x:v>46251.291666666664</x:v>
      </x:c>
      <x:c r="T9" s="37" t="b">
        <x:v>0</x:v>
      </x:c>
      <x:c r="U9" s="36" t="str">
        <x:v>PENDING</x:v>
      </x:c>
      <x:c r="V9" s="36"/>
      <x:c r="W9" s="36"/>
      <x:c r="X9" s="36" t="str">
        <x:v>needs_geocoding</x:v>
      </x:c>
    </x:row>
    <x:row r="10" ht="15" hidden="0" customHeight="1">
      <x:c r="A10" s="36" t="str">
        <x:v>STRESS</x:v>
      </x:c>
      <x:c r="B10" s="36" t="str">
        <x:v>EAST-74949</x:v>
      </x:c>
      <x:c r="C10" s="36" t="str">
        <x:v>74949</x:v>
      </x:c>
      <x:c r="D10" s="36" t="str">
        <x:v>EAST</x:v>
      </x:c>
      <x:c r="E10" s="36" t="str">
        <x:v>Восток</x:v>
      </x:c>
      <x:c r="F10" s="36" t="str">
        <x:v>Подключение</x:v>
      </x:c>
      <x:c r="G10" s="36" t="str">
        <x:v>Конвергенция абонента</x:v>
      </x:c>
      <x:c r="H10" s="49" t="n">
        <x:v>46251.416666666664</x:v>
      </x:c>
      <x:c r="I10" s="49" t="n">
        <x:v>46251.5</x:v>
      </x:c>
      <x:c r="J10" s="36" t="str">
        <x:v>Таганский</x:v>
      </x:c>
      <x:c r="K10" s="36" t="str">
        <x:v>Город Москва, ул.Международная, д. 28 стр. 1</x:v>
      </x:c>
      <x:c r="L10" s="36" t="str">
        <x:v>FMC</x:v>
      </x:c>
      <x:c r="M10" s="36" t="str">
        <x:v>Нет</x:v>
      </x:c>
      <x:c r="N10" s="36" t="str">
        <x:v>INSTALL</x:v>
      </x:c>
      <x:c r="O10" s="36" t="n">
        <x:v>60</x:v>
      </x:c>
      <x:c r="P10" s="36" t="str">
        <x:v>NORMAL</x:v>
      </x:c>
      <x:c r="Q10" s="36" t="str">
        <x:v>ANY</x:v>
      </x:c>
      <x:c r="R10" s="36" t="str">
        <x:v>DIAG_SET|INSTALL_SET|CABLE_PACK</x:v>
      </x:c>
      <x:c r="S10" s="49" t="n">
        <x:v>46251.291666666664</x:v>
      </x:c>
      <x:c r="T10" s="37" t="b">
        <x:v>0</x:v>
      </x:c>
      <x:c r="U10" s="36" t="str">
        <x:v>PENDING</x:v>
      </x:c>
      <x:c r="V10" s="36"/>
      <x:c r="W10" s="36"/>
      <x:c r="X10" s="36" t="str">
        <x:v>needs_geocoding</x:v>
      </x:c>
    </x:row>
    <x:row r="11" ht="15" hidden="0" customHeight="1">
      <x:c r="A11" s="36" t="str">
        <x:v>STRESS</x:v>
      </x:c>
      <x:c r="B11" s="36" t="str">
        <x:v>EAST-41077</x:v>
      </x:c>
      <x:c r="C11" s="36" t="str">
        <x:v>41077</x:v>
      </x:c>
      <x:c r="D11" s="36" t="str">
        <x:v>EAST</x:v>
      </x:c>
      <x:c r="E11" s="36" t="str">
        <x:v>Восток</x:v>
      </x:c>
      <x:c r="F11" s="36" t="str">
        <x:v>Подключение</x:v>
      </x:c>
      <x:c r="G11" s="36" t="str">
        <x:v>Конвергенция абонента</x:v>
      </x:c>
      <x:c r="H11" s="49" t="n">
        <x:v>46251.5</x:v>
      </x:c>
      <x:c r="I11" s="49" t="n">
        <x:v>46251.583333333336</x:v>
      </x:c>
      <x:c r="J11" s="36" t="str">
        <x:v>Таганский</x:v>
      </x:c>
      <x:c r="K11" s="36" t="str">
        <x:v>Город Москва, ул.Новорогожская, д. 8</x:v>
      </x:c>
      <x:c r="L11" s="36" t="str">
        <x:v>FMC</x:v>
      </x:c>
      <x:c r="M11" s="36" t="str">
        <x:v>Нет</x:v>
      </x:c>
      <x:c r="N11" s="36" t="str">
        <x:v>INSTALL</x:v>
      </x:c>
      <x:c r="O11" s="36" t="n">
        <x:v>60</x:v>
      </x:c>
      <x:c r="P11" s="36" t="str">
        <x:v>NORMAL</x:v>
      </x:c>
      <x:c r="Q11" s="36" t="str">
        <x:v>ANY</x:v>
      </x:c>
      <x:c r="R11" s="36" t="str">
        <x:v>DIAG_SET|INSTALL_SET|CABLE_PACK</x:v>
      </x:c>
      <x:c r="S11" s="49" t="n">
        <x:v>46251.291666666664</x:v>
      </x:c>
      <x:c r="T11" s="37" t="b">
        <x:v>0</x:v>
      </x:c>
      <x:c r="U11" s="36" t="str">
        <x:v>PENDING</x:v>
      </x:c>
      <x:c r="V11" s="36"/>
      <x:c r="W11" s="36"/>
      <x:c r="X11" s="36" t="str">
        <x:v>needs_geocoding</x:v>
      </x:c>
    </x:row>
    <x:row r="12" ht="15" hidden="0" customHeight="1">
      <x:c r="A12" s="36" t="str">
        <x:v>STRESS</x:v>
      </x:c>
      <x:c r="B12" s="36" t="str">
        <x:v>EAST-87693</x:v>
      </x:c>
      <x:c r="C12" s="36" t="str">
        <x:v>87693</x:v>
      </x:c>
      <x:c r="D12" s="36" t="str">
        <x:v>EAST</x:v>
      </x:c>
      <x:c r="E12" s="36" t="str">
        <x:v>Восток</x:v>
      </x:c>
      <x:c r="F12" s="36" t="str">
        <x:v>Подключение</x:v>
      </x:c>
      <x:c r="G12" s="36" t="str">
        <x:v>Конвергенция абонента</x:v>
      </x:c>
      <x:c r="H12" s="49" t="n">
        <x:v>46251.666666666664</x:v>
      </x:c>
      <x:c r="I12" s="49" t="n">
        <x:v>46251.75</x:v>
      </x:c>
      <x:c r="J12" s="36" t="str">
        <x:v>Текстильщики</x:v>
      </x:c>
      <x:c r="K12" s="36" t="str">
        <x:v>Город Москва, ул.Чистова, д. 12</x:v>
      </x:c>
      <x:c r="L12" s="36" t="str">
        <x:v>FMC</x:v>
      </x:c>
      <x:c r="M12" s="36" t="str">
        <x:v>Нет</x:v>
      </x:c>
      <x:c r="N12" s="36" t="str">
        <x:v>INSTALL</x:v>
      </x:c>
      <x:c r="O12" s="36" t="n">
        <x:v>60</x:v>
      </x:c>
      <x:c r="P12" s="36" t="str">
        <x:v>NORMAL</x:v>
      </x:c>
      <x:c r="Q12" s="36" t="str">
        <x:v>ANY</x:v>
      </x:c>
      <x:c r="R12" s="36" t="str">
        <x:v>DIAG_SET|INSTALL_SET|CABLE_PACK</x:v>
      </x:c>
      <x:c r="S12" s="49" t="n">
        <x:v>46251.291666666664</x:v>
      </x:c>
      <x:c r="T12" s="37" t="b">
        <x:v>0</x:v>
      </x:c>
      <x:c r="U12" s="36" t="str">
        <x:v>PENDING</x:v>
      </x:c>
      <x:c r="V12" s="36"/>
      <x:c r="W12" s="36"/>
      <x:c r="X12" s="36" t="str">
        <x:v>needs_geocoding</x:v>
      </x:c>
    </x:row>
    <x:row r="13" ht="15" hidden="0" customHeight="1">
      <x:c r="A13" s="36" t="str">
        <x:v>STRESS</x:v>
      </x:c>
      <x:c r="B13" s="36" t="str">
        <x:v>EAST-93086</x:v>
      </x:c>
      <x:c r="C13" s="36" t="str">
        <x:v>93086</x:v>
      </x:c>
      <x:c r="D13" s="36" t="str">
        <x:v>EAST</x:v>
      </x:c>
      <x:c r="E13" s="36" t="str">
        <x:v>Восток</x:v>
      </x:c>
      <x:c r="F13" s="36" t="str">
        <x:v>Подключение</x:v>
      </x:c>
      <x:c r="G13" s="36" t="str">
        <x:v>Конвергенция абонента</x:v>
      </x:c>
      <x:c r="H13" s="49" t="n">
        <x:v>46251.5</x:v>
      </x:c>
      <x:c r="I13" s="49" t="n">
        <x:v>46251.583333333336</x:v>
      </x:c>
      <x:c r="J13" s="36" t="str">
        <x:v>Рязанский</x:v>
      </x:c>
      <x:c r="K13" s="36" t="str">
        <x:v>Город Москва, ул.Паперника, д. 19</x:v>
      </x:c>
      <x:c r="L13" s="36" t="str">
        <x:v>FMC</x:v>
      </x:c>
      <x:c r="M13" s="36" t="str">
        <x:v>Нет</x:v>
      </x:c>
      <x:c r="N13" s="36" t="str">
        <x:v>INSTALL</x:v>
      </x:c>
      <x:c r="O13" s="36" t="n">
        <x:v>60</x:v>
      </x:c>
      <x:c r="P13" s="36" t="str">
        <x:v>NORMAL</x:v>
      </x:c>
      <x:c r="Q13" s="36" t="str">
        <x:v>ANY</x:v>
      </x:c>
      <x:c r="R13" s="36" t="str">
        <x:v>DIAG_SET|INSTALL_SET|CABLE_PACK</x:v>
      </x:c>
      <x:c r="S13" s="49" t="n">
        <x:v>46251.291666666664</x:v>
      </x:c>
      <x:c r="T13" s="37" t="b">
        <x:v>0</x:v>
      </x:c>
      <x:c r="U13" s="36" t="str">
        <x:v>PENDING</x:v>
      </x:c>
      <x:c r="V13" s="36"/>
      <x:c r="W13" s="36"/>
      <x:c r="X13" s="36" t="str">
        <x:v>needs_geocoding</x:v>
      </x:c>
    </x:row>
    <x:row r="14" ht="15" hidden="0" customHeight="1">
      <x:c r="A14" s="36" t="str">
        <x:v>STRESS</x:v>
      </x:c>
      <x:c r="B14" s="36" t="str">
        <x:v>EAST-57866</x:v>
      </x:c>
      <x:c r="C14" s="36" t="str">
        <x:v>57866</x:v>
      </x:c>
      <x:c r="D14" s="36" t="str">
        <x:v>EAST</x:v>
      </x:c>
      <x:c r="E14" s="36" t="str">
        <x:v>Восток</x:v>
      </x:c>
      <x:c r="F14" s="36" t="str">
        <x:v>Подключение</x:v>
      </x:c>
      <x:c r="G14" s="36" t="str">
        <x:v>Конвергенция абонента</x:v>
      </x:c>
      <x:c r="H14" s="49" t="n">
        <x:v>46251.583333333336</x:v>
      </x:c>
      <x:c r="I14" s="49" t="n">
        <x:v>46251.666666666664</x:v>
      </x:c>
      <x:c r="J14" s="36" t="str">
        <x:v>Рязанский</x:v>
      </x:c>
      <x:c r="K14" s="36" t="str">
        <x:v>Город Москва, ул.Окская, д. 48/2</x:v>
      </x:c>
      <x:c r="L14" s="36" t="str">
        <x:v>FMC</x:v>
      </x:c>
      <x:c r="M14" s="36" t="str">
        <x:v>Нет</x:v>
      </x:c>
      <x:c r="N14" s="36" t="str">
        <x:v>INSTALL</x:v>
      </x:c>
      <x:c r="O14" s="36" t="n">
        <x:v>60</x:v>
      </x:c>
      <x:c r="P14" s="36" t="str">
        <x:v>NORMAL</x:v>
      </x:c>
      <x:c r="Q14" s="36" t="str">
        <x:v>ANY</x:v>
      </x:c>
      <x:c r="R14" s="36" t="str">
        <x:v>DIAG_SET|INSTALL_SET|CABLE_PACK</x:v>
      </x:c>
      <x:c r="S14" s="49" t="n">
        <x:v>46251.291666666664</x:v>
      </x:c>
      <x:c r="T14" s="37" t="b">
        <x:v>0</x:v>
      </x:c>
      <x:c r="U14" s="36" t="str">
        <x:v>PENDING</x:v>
      </x:c>
      <x:c r="V14" s="36"/>
      <x:c r="W14" s="36"/>
      <x:c r="X14" s="36" t="str">
        <x:v>needs_geocoding</x:v>
      </x:c>
    </x:row>
    <x:row r="15" ht="15" hidden="0" customHeight="1">
      <x:c r="A15" s="36" t="str">
        <x:v>STRESS</x:v>
      </x:c>
      <x:c r="B15" s="36" t="str">
        <x:v>EAST-35675</x:v>
      </x:c>
      <x:c r="C15" s="36" t="str">
        <x:v>35675</x:v>
      </x:c>
      <x:c r="D15" s="36" t="str">
        <x:v>EAST</x:v>
      </x:c>
      <x:c r="E15" s="36" t="str">
        <x:v>Восток</x:v>
      </x:c>
      <x:c r="F15" s="36" t="str">
        <x:v>Подключение</x:v>
      </x:c>
      <x:c r="G15" s="36" t="str">
        <x:v>Конвергенция абонента</x:v>
      </x:c>
      <x:c r="H15" s="49" t="n">
        <x:v>46251.666666666664</x:v>
      </x:c>
      <x:c r="I15" s="49" t="n">
        <x:v>46251.75</x:v>
      </x:c>
      <x:c r="J15" s="36" t="str">
        <x:v>Южнопортовый</x:v>
      </x:c>
      <x:c r="K15" s="36" t="str">
        <x:v>Город Москва, ул.Трофимова, д. 24 к 2</x:v>
      </x:c>
      <x:c r="L15" s="36" t="str">
        <x:v>FMC</x:v>
      </x:c>
      <x:c r="M15" s="36" t="str">
        <x:v>Нет</x:v>
      </x:c>
      <x:c r="N15" s="36" t="str">
        <x:v>INSTALL</x:v>
      </x:c>
      <x:c r="O15" s="36" t="n">
        <x:v>60</x:v>
      </x:c>
      <x:c r="P15" s="36" t="str">
        <x:v>NORMAL</x:v>
      </x:c>
      <x:c r="Q15" s="36" t="str">
        <x:v>ANY</x:v>
      </x:c>
      <x:c r="R15" s="36" t="str">
        <x:v>DIAG_SET|INSTALL_SET|CABLE_PACK</x:v>
      </x:c>
      <x:c r="S15" s="49" t="n">
        <x:v>46251.291666666664</x:v>
      </x:c>
      <x:c r="T15" s="37" t="b">
        <x:v>0</x:v>
      </x:c>
      <x:c r="U15" s="36" t="str">
        <x:v>PENDING</x:v>
      </x:c>
      <x:c r="V15" s="36"/>
      <x:c r="W15" s="36"/>
      <x:c r="X15" s="36" t="str">
        <x:v>needs_geocoding</x:v>
      </x:c>
    </x:row>
    <x:row r="16" ht="15" hidden="0" customHeight="1">
      <x:c r="A16" s="36" t="str">
        <x:v>STRESS</x:v>
      </x:c>
      <x:c r="B16" s="36" t="str">
        <x:v>EAST-82388</x:v>
      </x:c>
      <x:c r="C16" s="36" t="str">
        <x:v>82388</x:v>
      </x:c>
      <x:c r="D16" s="36" t="str">
        <x:v>EAST</x:v>
      </x:c>
      <x:c r="E16" s="36" t="str">
        <x:v>Восток</x:v>
      </x:c>
      <x:c r="F16" s="36" t="str">
        <x:v>Подключение</x:v>
      </x:c>
      <x:c r="G16" s="36" t="str">
        <x:v>Конвергенция абонента</x:v>
      </x:c>
      <x:c r="H16" s="49" t="n">
        <x:v>46251.583333333336</x:v>
      </x:c>
      <x:c r="I16" s="49" t="n">
        <x:v>46251.666666666664</x:v>
      </x:c>
      <x:c r="J16" s="36" t="str">
        <x:v>Южнопортовый</x:v>
      </x:c>
      <x:c r="K16" s="36" t="str">
        <x:v>Город Москва, ул.1-я Дубровская, д. 6</x:v>
      </x:c>
      <x:c r="L16" s="36" t="str">
        <x:v>FMC</x:v>
      </x:c>
      <x:c r="M16" s="36" t="str">
        <x:v>Нет</x:v>
      </x:c>
      <x:c r="N16" s="36" t="str">
        <x:v>INSTALL</x:v>
      </x:c>
      <x:c r="O16" s="36" t="n">
        <x:v>60</x:v>
      </x:c>
      <x:c r="P16" s="36" t="str">
        <x:v>NORMAL</x:v>
      </x:c>
      <x:c r="Q16" s="36" t="str">
        <x:v>ANY</x:v>
      </x:c>
      <x:c r="R16" s="36" t="str">
        <x:v>DIAG_SET|INSTALL_SET|CABLE_PACK</x:v>
      </x:c>
      <x:c r="S16" s="49" t="n">
        <x:v>46251.291666666664</x:v>
      </x:c>
      <x:c r="T16" s="37" t="b">
        <x:v>0</x:v>
      </x:c>
      <x:c r="U16" s="36" t="str">
        <x:v>PENDING</x:v>
      </x:c>
      <x:c r="V16" s="36"/>
      <x:c r="W16" s="36"/>
      <x:c r="X16" s="36" t="str">
        <x:v>needs_geocoding</x:v>
      </x:c>
    </x:row>
    <x:row r="17" ht="15" hidden="0" customHeight="1">
      <x:c r="A17" s="36" t="str">
        <x:v>STRESS</x:v>
      </x:c>
      <x:c r="B17" s="36" t="str">
        <x:v>EAST-23380</x:v>
      </x:c>
      <x:c r="C17" s="36" t="str">
        <x:v>23380</x:v>
      </x:c>
      <x:c r="D17" s="36" t="str">
        <x:v>EAST</x:v>
      </x:c>
      <x:c r="E17" s="36" t="str">
        <x:v>Восток</x:v>
      </x:c>
      <x:c r="F17" s="36" t="str">
        <x:v>Подключение</x:v>
      </x:c>
      <x:c r="G17" s="36" t="str">
        <x:v>Конвергенция абонента</x:v>
      </x:c>
      <x:c r="H17" s="49" t="n">
        <x:v>46251.5</x:v>
      </x:c>
      <x:c r="I17" s="49" t="n">
        <x:v>46251.583333333336</x:v>
      </x:c>
      <x:c r="J17" s="36" t="str">
        <x:v>Таганский</x:v>
      </x:c>
      <x:c r="K17" s="36" t="str">
        <x:v>Город Москва, ул.Рогожский Вал, д. 2/50</x:v>
      </x:c>
      <x:c r="L17" s="36" t="str">
        <x:v>FMC</x:v>
      </x:c>
      <x:c r="M17" s="36" t="str">
        <x:v>Нет</x:v>
      </x:c>
      <x:c r="N17" s="36" t="str">
        <x:v>INSTALL</x:v>
      </x:c>
      <x:c r="O17" s="36" t="n">
        <x:v>60</x:v>
      </x:c>
      <x:c r="P17" s="36" t="str">
        <x:v>NORMAL</x:v>
      </x:c>
      <x:c r="Q17" s="36" t="str">
        <x:v>ANY</x:v>
      </x:c>
      <x:c r="R17" s="36" t="str">
        <x:v>DIAG_SET|INSTALL_SET|CABLE_PACK</x:v>
      </x:c>
      <x:c r="S17" s="49" t="n">
        <x:v>46251.291666666664</x:v>
      </x:c>
      <x:c r="T17" s="37" t="b">
        <x:v>0</x:v>
      </x:c>
      <x:c r="U17" s="36" t="str">
        <x:v>PENDING</x:v>
      </x:c>
      <x:c r="V17" s="36"/>
      <x:c r="W17" s="36"/>
      <x:c r="X17" s="36" t="str">
        <x:v>needs_geocoding</x:v>
      </x:c>
    </x:row>
    <x:row r="18" ht="15" hidden="0" customHeight="1">
      <x:c r="A18" s="36" t="str">
        <x:v>STRESS</x:v>
      </x:c>
      <x:c r="B18" s="36" t="str">
        <x:v>EAST-37272</x:v>
      </x:c>
      <x:c r="C18" s="36" t="str">
        <x:v>37272</x:v>
      </x:c>
      <x:c r="D18" s="36" t="str">
        <x:v>EAST</x:v>
      </x:c>
      <x:c r="E18" s="36" t="str">
        <x:v>Восток</x:v>
      </x:c>
      <x:c r="F18" s="36" t="str">
        <x:v>Подключение</x:v>
      </x:c>
      <x:c r="G18" s="36" t="str">
        <x:v>Конвергенция абонента</x:v>
      </x:c>
      <x:c r="H18" s="49" t="n">
        <x:v>46251.416666666664</x:v>
      </x:c>
      <x:c r="I18" s="49" t="n">
        <x:v>46251.5</x:v>
      </x:c>
      <x:c r="J18" s="36" t="str">
        <x:v>Таганский</x:v>
      </x:c>
      <x:c r="K18" s="36" t="str">
        <x:v>Город Москва, ул.Талалихина, д. 2/1 к 4</x:v>
      </x:c>
      <x:c r="L18" s="36" t="str">
        <x:v>FMC</x:v>
      </x:c>
      <x:c r="M18" s="36" t="str">
        <x:v>Нет</x:v>
      </x:c>
      <x:c r="N18" s="36" t="str">
        <x:v>INSTALL</x:v>
      </x:c>
      <x:c r="O18" s="36" t="n">
        <x:v>60</x:v>
      </x:c>
      <x:c r="P18" s="36" t="str">
        <x:v>NORMAL</x:v>
      </x:c>
      <x:c r="Q18" s="36" t="str">
        <x:v>ANY</x:v>
      </x:c>
      <x:c r="R18" s="36" t="str">
        <x:v>DIAG_SET|INSTALL_SET|CABLE_PACK</x:v>
      </x:c>
      <x:c r="S18" s="49" t="n">
        <x:v>46251.291666666664</x:v>
      </x:c>
      <x:c r="T18" s="37" t="b">
        <x:v>0</x:v>
      </x:c>
      <x:c r="U18" s="36" t="str">
        <x:v>PENDING</x:v>
      </x:c>
      <x:c r="V18" s="36"/>
      <x:c r="W18" s="36"/>
      <x:c r="X18" s="36" t="str">
        <x:v>needs_geocoding</x:v>
      </x:c>
    </x:row>
    <x:row r="19" ht="15" hidden="0" customHeight="1">
      <x:c r="A19" s="36" t="str">
        <x:v>STRESS</x:v>
      </x:c>
      <x:c r="B19" s="36" t="str">
        <x:v>EAST-71388</x:v>
      </x:c>
      <x:c r="C19" s="36" t="str">
        <x:v>71388</x:v>
      </x:c>
      <x:c r="D19" s="36" t="str">
        <x:v>EAST</x:v>
      </x:c>
      <x:c r="E19" s="36" t="str">
        <x:v>Восток</x:v>
      </x:c>
      <x:c r="F19" s="36" t="str">
        <x:v>Подключение</x:v>
      </x:c>
      <x:c r="G19" s="36" t="str">
        <x:v>Конвергенция абонента</x:v>
      </x:c>
      <x:c r="H19" s="49" t="n">
        <x:v>46251.583333333336</x:v>
      </x:c>
      <x:c r="I19" s="49" t="n">
        <x:v>46251.666666666664</x:v>
      </x:c>
      <x:c r="J19" s="36" t="str">
        <x:v>Текстильщики</x:v>
      </x:c>
      <x:c r="K19" s="36" t="str">
        <x:v>Город Москва, ул.Артюхиной, д. 20А</x:v>
      </x:c>
      <x:c r="L19" s="36" t="str">
        <x:v>FMC</x:v>
      </x:c>
      <x:c r="M19" s="36" t="str">
        <x:v>Нет</x:v>
      </x:c>
      <x:c r="N19" s="36" t="str">
        <x:v>INSTALL</x:v>
      </x:c>
      <x:c r="O19" s="36" t="n">
        <x:v>60</x:v>
      </x:c>
      <x:c r="P19" s="36" t="str">
        <x:v>NORMAL</x:v>
      </x:c>
      <x:c r="Q19" s="36" t="str">
        <x:v>ANY</x:v>
      </x:c>
      <x:c r="R19" s="36" t="str">
        <x:v>DIAG_SET|INSTALL_SET|CABLE_PACK</x:v>
      </x:c>
      <x:c r="S19" s="49" t="n">
        <x:v>46251.291666666664</x:v>
      </x:c>
      <x:c r="T19" s="37" t="b">
        <x:v>0</x:v>
      </x:c>
      <x:c r="U19" s="36" t="str">
        <x:v>PENDING</x:v>
      </x:c>
      <x:c r="V19" s="36"/>
      <x:c r="W19" s="36"/>
      <x:c r="X19" s="36" t="str">
        <x:v>needs_geocoding</x:v>
      </x:c>
    </x:row>
    <x:row r="20" ht="15" hidden="0" customHeight="1">
      <x:c r="A20" s="36" t="str">
        <x:v>STRESS</x:v>
      </x:c>
      <x:c r="B20" s="36" t="str">
        <x:v>EAST-34366</x:v>
      </x:c>
      <x:c r="C20" s="36" t="str">
        <x:v>34366</x:v>
      </x:c>
      <x:c r="D20" s="36" t="str">
        <x:v>EAST</x:v>
      </x:c>
      <x:c r="E20" s="36" t="str">
        <x:v>Восток</x:v>
      </x:c>
      <x:c r="F20" s="36" t="str">
        <x:v>Подключение</x:v>
      </x:c>
      <x:c r="G20" s="36" t="str">
        <x:v>Конвергенция абонента</x:v>
      </x:c>
      <x:c r="H20" s="49" t="n">
        <x:v>46251.416666666664</x:v>
      </x:c>
      <x:c r="I20" s="49" t="n">
        <x:v>46251.5</x:v>
      </x:c>
      <x:c r="J20" s="36" t="str">
        <x:v>Текстильщики</x:v>
      </x:c>
      <x:c r="K20" s="36" t="str">
        <x:v>Город Москва, ул.Малышева, д. 13</x:v>
      </x:c>
      <x:c r="L20" s="36" t="str">
        <x:v>FMC</x:v>
      </x:c>
      <x:c r="M20" s="36" t="str">
        <x:v>Нет</x:v>
      </x:c>
      <x:c r="N20" s="36" t="str">
        <x:v>INSTALL</x:v>
      </x:c>
      <x:c r="O20" s="36" t="n">
        <x:v>60</x:v>
      </x:c>
      <x:c r="P20" s="36" t="str">
        <x:v>NORMAL</x:v>
      </x:c>
      <x:c r="Q20" s="36" t="str">
        <x:v>ANY</x:v>
      </x:c>
      <x:c r="R20" s="36" t="str">
        <x:v>DIAG_SET|INSTALL_SET|CABLE_PACK</x:v>
      </x:c>
      <x:c r="S20" s="49" t="n">
        <x:v>46251.291666666664</x:v>
      </x:c>
      <x:c r="T20" s="37" t="b">
        <x:v>0</x:v>
      </x:c>
      <x:c r="U20" s="36" t="str">
        <x:v>PENDING</x:v>
      </x:c>
      <x:c r="V20" s="36"/>
      <x:c r="W20" s="36"/>
      <x:c r="X20" s="36" t="str">
        <x:v>needs_geocoding</x:v>
      </x:c>
    </x:row>
    <x:row r="21" ht="15" hidden="0" customHeight="1">
      <x:c r="A21" s="36" t="str">
        <x:v>STRESS</x:v>
      </x:c>
      <x:c r="B21" s="36" t="str">
        <x:v>EAST-67554</x:v>
      </x:c>
      <x:c r="C21" s="36" t="str">
        <x:v>67554</x:v>
      </x:c>
      <x:c r="D21" s="36" t="str">
        <x:v>EAST</x:v>
      </x:c>
      <x:c r="E21" s="36" t="str">
        <x:v>Восток</x:v>
      </x:c>
      <x:c r="F21" s="36" t="str">
        <x:v>Подключение</x:v>
      </x:c>
      <x:c r="G21" s="36" t="str">
        <x:v>Заявка на подключение</x:v>
      </x:c>
      <x:c r="H21" s="49" t="n">
        <x:v>46251.5</x:v>
      </x:c>
      <x:c r="I21" s="49" t="n">
        <x:v>46251.583333333336</x:v>
      </x:c>
      <x:c r="J21" s="36" t="str">
        <x:v>Нижегородский</x:v>
      </x:c>
      <x:c r="K21" s="36" t="str">
        <x:v>Город Москва, ул.Бронницкая, д. 12</x:v>
      </x:c>
      <x:c r="L21" s="36" t="str"/>
      <x:c r="M21" s="36" t="str">
        <x:v>Нет</x:v>
      </x:c>
      <x:c r="N21" s="36" t="str">
        <x:v>INSTALL</x:v>
      </x:c>
      <x:c r="O21" s="36" t="n">
        <x:v>90</x:v>
      </x:c>
      <x:c r="P21" s="36" t="str">
        <x:v>NORMAL</x:v>
      </x:c>
      <x:c r="Q21" s="36" t="str">
        <x:v>ANY</x:v>
      </x:c>
      <x:c r="R21" s="36" t="str">
        <x:v>DIAG_SET|INSTALL_SET|CABLE_PACK</x:v>
      </x:c>
      <x:c r="S21" s="49" t="n">
        <x:v>46251.291666666664</x:v>
      </x:c>
      <x:c r="T21" s="37" t="b">
        <x:v>0</x:v>
      </x:c>
      <x:c r="U21" s="36" t="str">
        <x:v>PENDING</x:v>
      </x:c>
      <x:c r="V21" s="36"/>
      <x:c r="W21" s="36"/>
      <x:c r="X21" s="36" t="str">
        <x:v>needs_geocoding</x:v>
      </x:c>
    </x:row>
    <x:row r="22" ht="15" hidden="0" customHeight="1">
      <x:c r="A22" s="36" t="str">
        <x:v>STRESS</x:v>
      </x:c>
      <x:c r="B22" s="36" t="str">
        <x:v>EAST-94409</x:v>
      </x:c>
      <x:c r="C22" s="36" t="str">
        <x:v>94409</x:v>
      </x:c>
      <x:c r="D22" s="36" t="str">
        <x:v>EAST</x:v>
      </x:c>
      <x:c r="E22" s="36" t="str">
        <x:v>Восток</x:v>
      </x:c>
      <x:c r="F22" s="36" t="str">
        <x:v>Подключение</x:v>
      </x:c>
      <x:c r="G22" s="36" t="str">
        <x:v>Конвергенция абонента</x:v>
      </x:c>
      <x:c r="H22" s="49" t="n">
        <x:v>46251.5</x:v>
      </x:c>
      <x:c r="I22" s="49" t="n">
        <x:v>46251.583333333336</x:v>
      </x:c>
      <x:c r="J22" s="36" t="str">
        <x:v>Лефортово</x:v>
      </x:c>
      <x:c r="K22" s="36" t="str">
        <x:v>Город Москва, ул.Авиамоторная, д. 14</x:v>
      </x:c>
      <x:c r="L22" s="36" t="str">
        <x:v>FMC</x:v>
      </x:c>
      <x:c r="M22" s="36" t="str">
        <x:v>Нет</x:v>
      </x:c>
      <x:c r="N22" s="36" t="str">
        <x:v>INSTALL</x:v>
      </x:c>
      <x:c r="O22" s="36" t="n">
        <x:v>60</x:v>
      </x:c>
      <x:c r="P22" s="36" t="str">
        <x:v>NORMAL</x:v>
      </x:c>
      <x:c r="Q22" s="36" t="str">
        <x:v>ANY</x:v>
      </x:c>
      <x:c r="R22" s="36" t="str">
        <x:v>DIAG_SET|INSTALL_SET|CABLE_PACK</x:v>
      </x:c>
      <x:c r="S22" s="49" t="n">
        <x:v>46251.291666666664</x:v>
      </x:c>
      <x:c r="T22" s="37" t="b">
        <x:v>0</x:v>
      </x:c>
      <x:c r="U22" s="36" t="str">
        <x:v>PENDING</x:v>
      </x:c>
      <x:c r="V22" s="36"/>
      <x:c r="W22" s="36"/>
      <x:c r="X22" s="36" t="str">
        <x:v>needs_geocoding</x:v>
      </x:c>
    </x:row>
    <x:row r="23" ht="15" hidden="0" customHeight="1">
      <x:c r="A23" s="36" t="str">
        <x:v>STRESS</x:v>
      </x:c>
      <x:c r="B23" s="36" t="str">
        <x:v>EAST-10245</x:v>
      </x:c>
      <x:c r="C23" s="36" t="str">
        <x:v>10245</x:v>
      </x:c>
      <x:c r="D23" s="36" t="str">
        <x:v>EAST</x:v>
      </x:c>
      <x:c r="E23" s="36" t="str">
        <x:v>Восток</x:v>
      </x:c>
      <x:c r="F23" s="36" t="str">
        <x:v>Подключение</x:v>
      </x:c>
      <x:c r="G23" s="36" t="str">
        <x:v>Конвергенция абонента</x:v>
      </x:c>
      <x:c r="H23" s="49" t="n">
        <x:v>46251.5</x:v>
      </x:c>
      <x:c r="I23" s="49" t="n">
        <x:v>46251.583333333336</x:v>
      </x:c>
      <x:c r="J23" s="36" t="str">
        <x:v>Кузьминки</x:v>
      </x:c>
      <x:c r="K23" s="36" t="str">
        <x:v>Город Москва, ул.Фёдора Полетаева, д. 2 к 6</x:v>
      </x:c>
      <x:c r="L23" s="36" t="str">
        <x:v>FMC</x:v>
      </x:c>
      <x:c r="M23" s="36" t="str">
        <x:v>Нет</x:v>
      </x:c>
      <x:c r="N23" s="36" t="str">
        <x:v>INSTALL</x:v>
      </x:c>
      <x:c r="O23" s="36" t="n">
        <x:v>60</x:v>
      </x:c>
      <x:c r="P23" s="36" t="str">
        <x:v>NORMAL</x:v>
      </x:c>
      <x:c r="Q23" s="36" t="str">
        <x:v>ANY</x:v>
      </x:c>
      <x:c r="R23" s="36" t="str">
        <x:v>DIAG_SET|INSTALL_SET|CABLE_PACK</x:v>
      </x:c>
      <x:c r="S23" s="49" t="n">
        <x:v>46251.291666666664</x:v>
      </x:c>
      <x:c r="T23" s="37" t="b">
        <x:v>0</x:v>
      </x:c>
      <x:c r="U23" s="36" t="str">
        <x:v>PENDING</x:v>
      </x:c>
      <x:c r="V23" s="36"/>
      <x:c r="W23" s="36"/>
      <x:c r="X23" s="36" t="str">
        <x:v>needs_geocoding</x:v>
      </x:c>
    </x:row>
    <x:row r="24" ht="15" hidden="0" customHeight="1">
      <x:c r="A24" s="36" t="str">
        <x:v>STRESS</x:v>
      </x:c>
      <x:c r="B24" s="36" t="str">
        <x:v>EAST-52405</x:v>
      </x:c>
      <x:c r="C24" s="36" t="str">
        <x:v>52405</x:v>
      </x:c>
      <x:c r="D24" s="36" t="str">
        <x:v>EAST</x:v>
      </x:c>
      <x:c r="E24" s="36" t="str">
        <x:v>Восток</x:v>
      </x:c>
      <x:c r="F24" s="36" t="str">
        <x:v>Подключение</x:v>
      </x:c>
      <x:c r="G24" s="36" t="str">
        <x:v>Конвергенция абонента</x:v>
      </x:c>
      <x:c r="H24" s="49" t="n">
        <x:v>46251.416666666664</x:v>
      </x:c>
      <x:c r="I24" s="49" t="n">
        <x:v>46251.5</x:v>
      </x:c>
      <x:c r="J24" s="36" t="str">
        <x:v>Рязанский</x:v>
      </x:c>
      <x:c r="K24" s="36" t="str">
        <x:v>Город Москва, ул.Зарайская, д. 51 к 2</x:v>
      </x:c>
      <x:c r="L24" s="36" t="str">
        <x:v>FMC</x:v>
      </x:c>
      <x:c r="M24" s="36" t="str">
        <x:v>Нет</x:v>
      </x:c>
      <x:c r="N24" s="36" t="str">
        <x:v>INSTALL</x:v>
      </x:c>
      <x:c r="O24" s="36" t="n">
        <x:v>60</x:v>
      </x:c>
      <x:c r="P24" s="36" t="str">
        <x:v>NORMAL</x:v>
      </x:c>
      <x:c r="Q24" s="36" t="str">
        <x:v>ANY</x:v>
      </x:c>
      <x:c r="R24" s="36" t="str">
        <x:v>DIAG_SET|INSTALL_SET|CABLE_PACK</x:v>
      </x:c>
      <x:c r="S24" s="49" t="n">
        <x:v>46251.291666666664</x:v>
      </x:c>
      <x:c r="T24" s="37" t="b">
        <x:v>0</x:v>
      </x:c>
      <x:c r="U24" s="36" t="str">
        <x:v>PENDING</x:v>
      </x:c>
      <x:c r="V24" s="36"/>
      <x:c r="W24" s="36"/>
      <x:c r="X24" s="36" t="str">
        <x:v>needs_geocoding</x:v>
      </x:c>
    </x:row>
    <x:row r="25" ht="15" hidden="0" customHeight="1">
      <x:c r="A25" s="36" t="str">
        <x:v>STRESS</x:v>
      </x:c>
      <x:c r="B25" s="36" t="str">
        <x:v>EAST-30769</x:v>
      </x:c>
      <x:c r="C25" s="36" t="str">
        <x:v>30769</x:v>
      </x:c>
      <x:c r="D25" s="36" t="str">
        <x:v>EAST</x:v>
      </x:c>
      <x:c r="E25" s="36" t="str">
        <x:v>Восток</x:v>
      </x:c>
      <x:c r="F25" s="36" t="str">
        <x:v>Подключение</x:v>
      </x:c>
      <x:c r="G25" s="36" t="str">
        <x:v>Конвергенция абонента</x:v>
      </x:c>
      <x:c r="H25" s="49" t="n">
        <x:v>46251.583333333336</x:v>
      </x:c>
      <x:c r="I25" s="49" t="n">
        <x:v>46251.666666666664</x:v>
      </x:c>
      <x:c r="J25" s="36" t="str">
        <x:v>Текстильщики</x:v>
      </x:c>
      <x:c r="K25" s="36" t="str">
        <x:v>Город Москва, ул.Саратовская, д. 14/1</x:v>
      </x:c>
      <x:c r="L25" s="36" t="str">
        <x:v>FMC</x:v>
      </x:c>
      <x:c r="M25" s="36" t="str">
        <x:v>Нет</x:v>
      </x:c>
      <x:c r="N25" s="36" t="str">
        <x:v>INSTALL</x:v>
      </x:c>
      <x:c r="O25" s="36" t="n">
        <x:v>60</x:v>
      </x:c>
      <x:c r="P25" s="36" t="str">
        <x:v>NORMAL</x:v>
      </x:c>
      <x:c r="Q25" s="36" t="str">
        <x:v>ANY</x:v>
      </x:c>
      <x:c r="R25" s="36" t="str">
        <x:v>DIAG_SET|INSTALL_SET|CABLE_PACK</x:v>
      </x:c>
      <x:c r="S25" s="49" t="n">
        <x:v>46251.291666666664</x:v>
      </x:c>
      <x:c r="T25" s="37" t="b">
        <x:v>0</x:v>
      </x:c>
      <x:c r="U25" s="36" t="str">
        <x:v>PENDING</x:v>
      </x:c>
      <x:c r="V25" s="36"/>
      <x:c r="W25" s="36"/>
      <x:c r="X25" s="36" t="str">
        <x:v>needs_geocoding</x:v>
      </x:c>
    </x:row>
    <x:row r="26" ht="15" hidden="0" customHeight="1">
      <x:c r="A26" s="36" t="str">
        <x:v>STRESS</x:v>
      </x:c>
      <x:c r="B26" s="36" t="str">
        <x:v>EAST-98182</x:v>
      </x:c>
      <x:c r="C26" s="36" t="str">
        <x:v>98182</x:v>
      </x:c>
      <x:c r="D26" s="36" t="str">
        <x:v>EAST</x:v>
      </x:c>
      <x:c r="E26" s="36" t="str">
        <x:v>Восток</x:v>
      </x:c>
      <x:c r="F26" s="36" t="str">
        <x:v>Подключение</x:v>
      </x:c>
      <x:c r="G26" s="36" t="str">
        <x:v>Заявка на подключение</x:v>
      </x:c>
      <x:c r="H26" s="49" t="n">
        <x:v>46251.416666666664</x:v>
      </x:c>
      <x:c r="I26" s="49" t="n">
        <x:v>46251.5</x:v>
      </x:c>
      <x:c r="J26" s="36" t="str">
        <x:v>Нижегородский</x:v>
      </x:c>
      <x:c r="K26" s="36" t="str">
        <x:v>Город Москва, ул.Нижегородская, д. 63</x:v>
      </x:c>
      <x:c r="L26" s="36" t="str"/>
      <x:c r="M26" s="36" t="str">
        <x:v>Нет</x:v>
      </x:c>
      <x:c r="N26" s="36" t="str">
        <x:v>INSTALL</x:v>
      </x:c>
      <x:c r="O26" s="36" t="n">
        <x:v>90</x:v>
      </x:c>
      <x:c r="P26" s="36" t="str">
        <x:v>NORMAL</x:v>
      </x:c>
      <x:c r="Q26" s="36" t="str">
        <x:v>ANY</x:v>
      </x:c>
      <x:c r="R26" s="36" t="str">
        <x:v>DIAG_SET|INSTALL_SET|CABLE_PACK</x:v>
      </x:c>
      <x:c r="S26" s="49" t="n">
        <x:v>46251.291666666664</x:v>
      </x:c>
      <x:c r="T26" s="37" t="b">
        <x:v>0</x:v>
      </x:c>
      <x:c r="U26" s="36" t="str">
        <x:v>PENDING</x:v>
      </x:c>
      <x:c r="V26" s="36"/>
      <x:c r="W26" s="36"/>
      <x:c r="X26" s="36" t="str">
        <x:v>needs_geocoding</x:v>
      </x:c>
    </x:row>
    <x:row r="27" ht="15" hidden="0" customHeight="1">
      <x:c r="A27" s="36" t="str">
        <x:v>STRESS</x:v>
      </x:c>
      <x:c r="B27" s="36" t="str">
        <x:v>EAST-76082</x:v>
      </x:c>
      <x:c r="C27" s="36" t="str">
        <x:v>76082</x:v>
      </x:c>
      <x:c r="D27" s="36" t="str">
        <x:v>EAST</x:v>
      </x:c>
      <x:c r="E27" s="36" t="str">
        <x:v>Восток</x:v>
      </x:c>
      <x:c r="F27" s="36" t="str">
        <x:v>Подключение</x:v>
      </x:c>
      <x:c r="G27" s="36" t="str">
        <x:v>Заказ подключения/Дозаказ оборудования</x:v>
      </x:c>
      <x:c r="H27" s="49" t="n">
        <x:v>46251.5</x:v>
      </x:c>
      <x:c r="I27" s="49" t="n">
        <x:v>46251.583333333336</x:v>
      </x:c>
      <x:c r="J27" s="36" t="str">
        <x:v>Нижегородский</x:v>
      </x:c>
      <x:c r="K27" s="36" t="str">
        <x:v>Город Москва, ул.Смирновская, д. 6</x:v>
      </x:c>
      <x:c r="L27" s="36" t="str">
        <x:v>FTTB</x:v>
      </x:c>
      <x:c r="M27" s="36" t="str">
        <x:v>Нет</x:v>
      </x:c>
      <x:c r="N27" s="36" t="str">
        <x:v>INSTALL</x:v>
      </x:c>
      <x:c r="O27" s="36" t="n">
        <x:v>75</x:v>
      </x:c>
      <x:c r="P27" s="36" t="str">
        <x:v>NORMAL</x:v>
      </x:c>
      <x:c r="Q27" s="36" t="str">
        <x:v>ANY</x:v>
      </x:c>
      <x:c r="R27" s="36" t="str">
        <x:v>DIAG_SET|INSTALL_SET|CABLE_PACK</x:v>
      </x:c>
      <x:c r="S27" s="49" t="n">
        <x:v>46251.291666666664</x:v>
      </x:c>
      <x:c r="T27" s="37" t="b">
        <x:v>0</x:v>
      </x:c>
      <x:c r="U27" s="36" t="str">
        <x:v>PENDING</x:v>
      </x:c>
      <x:c r="V27" s="36"/>
      <x:c r="W27" s="36"/>
      <x:c r="X27" s="36" t="str">
        <x:v>needs_geocoding</x:v>
      </x:c>
    </x:row>
    <x:row r="28" ht="15" hidden="0" customHeight="1">
      <x:c r="A28" s="36" t="str">
        <x:v>STRESS</x:v>
      </x:c>
      <x:c r="B28" s="36" t="str">
        <x:v>EAST-29890</x:v>
      </x:c>
      <x:c r="C28" s="36" t="str">
        <x:v>29890</x:v>
      </x:c>
      <x:c r="D28" s="36" t="str">
        <x:v>EAST</x:v>
      </x:c>
      <x:c r="E28" s="36" t="str">
        <x:v>Восток</x:v>
      </x:c>
      <x:c r="F28" s="36" t="str">
        <x:v>Подключение</x:v>
      </x:c>
      <x:c r="G28" s="36" t="str">
        <x:v>Конвергенция абонента</x:v>
      </x:c>
      <x:c r="H28" s="49" t="n">
        <x:v>46251.5</x:v>
      </x:c>
      <x:c r="I28" s="49" t="n">
        <x:v>46251.583333333336</x:v>
      </x:c>
      <x:c r="J28" s="36" t="str">
        <x:v>Нижегородский</x:v>
      </x:c>
      <x:c r="K28" s="36" t="str">
        <x:v>Город Москва, ул.Нижегородская, д. 61</x:v>
      </x:c>
      <x:c r="L28" s="36" t="str">
        <x:v>FMC</x:v>
      </x:c>
      <x:c r="M28" s="36" t="str">
        <x:v>Нет</x:v>
      </x:c>
      <x:c r="N28" s="36" t="str">
        <x:v>INSTALL</x:v>
      </x:c>
      <x:c r="O28" s="36" t="n">
        <x:v>60</x:v>
      </x:c>
      <x:c r="P28" s="36" t="str">
        <x:v>NORMAL</x:v>
      </x:c>
      <x:c r="Q28" s="36" t="str">
        <x:v>ANY</x:v>
      </x:c>
      <x:c r="R28" s="36" t="str">
        <x:v>DIAG_SET|INSTALL_SET|CABLE_PACK</x:v>
      </x:c>
      <x:c r="S28" s="49" t="n">
        <x:v>46251.291666666664</x:v>
      </x:c>
      <x:c r="T28" s="37" t="b">
        <x:v>0</x:v>
      </x:c>
      <x:c r="U28" s="36" t="str">
        <x:v>PENDING</x:v>
      </x:c>
      <x:c r="V28" s="36"/>
      <x:c r="W28" s="36"/>
      <x:c r="X28" s="36" t="str">
        <x:v>needs_geocoding</x:v>
      </x:c>
    </x:row>
    <x:row r="29" ht="15" hidden="0" customHeight="1">
      <x:c r="A29" s="36" t="str">
        <x:v>STRESS</x:v>
      </x:c>
      <x:c r="B29" s="36" t="str">
        <x:v>EAST-77563</x:v>
      </x:c>
      <x:c r="C29" s="36" t="str">
        <x:v>77563</x:v>
      </x:c>
      <x:c r="D29" s="36" t="str">
        <x:v>EAST</x:v>
      </x:c>
      <x:c r="E29" s="36" t="str">
        <x:v>Восток</x:v>
      </x:c>
      <x:c r="F29" s="36" t="str">
        <x:v>Подключение</x:v>
      </x:c>
      <x:c r="G29" s="36" t="str">
        <x:v>Конвергенция абонента</x:v>
      </x:c>
      <x:c r="H29" s="49" t="n">
        <x:v>46251.416666666664</x:v>
      </x:c>
      <x:c r="I29" s="49" t="n">
        <x:v>46251.5</x:v>
      </x:c>
      <x:c r="J29" s="36" t="str">
        <x:v>Кузьминки</x:v>
      </x:c>
      <x:c r="K29" s="36" t="str">
        <x:v>Город Москва, ул.Зеленодольская, д. 28Б</x:v>
      </x:c>
      <x:c r="L29" s="36" t="str">
        <x:v>FMC</x:v>
      </x:c>
      <x:c r="M29" s="36" t="str">
        <x:v>Нет</x:v>
      </x:c>
      <x:c r="N29" s="36" t="str">
        <x:v>INSTALL</x:v>
      </x:c>
      <x:c r="O29" s="36" t="n">
        <x:v>60</x:v>
      </x:c>
      <x:c r="P29" s="36" t="str">
        <x:v>NORMAL</x:v>
      </x:c>
      <x:c r="Q29" s="36" t="str">
        <x:v>ANY</x:v>
      </x:c>
      <x:c r="R29" s="36" t="str">
        <x:v>DIAG_SET|INSTALL_SET|CABLE_PACK</x:v>
      </x:c>
      <x:c r="S29" s="49" t="n">
        <x:v>46251.291666666664</x:v>
      </x:c>
      <x:c r="T29" s="37" t="b">
        <x:v>0</x:v>
      </x:c>
      <x:c r="U29" s="36" t="str">
        <x:v>PENDING</x:v>
      </x:c>
      <x:c r="V29" s="36"/>
      <x:c r="W29" s="36"/>
      <x:c r="X29" s="36" t="str">
        <x:v>needs_geocoding</x:v>
      </x:c>
    </x:row>
    <x:row r="30" ht="15" hidden="0" customHeight="1">
      <x:c r="A30" s="36" t="str">
        <x:v>STRESS</x:v>
      </x:c>
      <x:c r="B30" s="36" t="str">
        <x:v>EAST-53587</x:v>
      </x:c>
      <x:c r="C30" s="36" t="str">
        <x:v>53587</x:v>
      </x:c>
      <x:c r="D30" s="36" t="str">
        <x:v>EAST</x:v>
      </x:c>
      <x:c r="E30" s="36" t="str">
        <x:v>Восток</x:v>
      </x:c>
      <x:c r="F30" s="36" t="str">
        <x:v>Подключение</x:v>
      </x:c>
      <x:c r="G30" s="36" t="str">
        <x:v>Конвергенция абонента</x:v>
      </x:c>
      <x:c r="H30" s="49" t="n">
        <x:v>46251.5</x:v>
      </x:c>
      <x:c r="I30" s="49" t="n">
        <x:v>46251.583333333336</x:v>
      </x:c>
      <x:c r="J30" s="36" t="str">
        <x:v>Текстильщики</x:v>
      </x:c>
      <x:c r="K30" s="36" t="str">
        <x:v>Город Москва, ул.Артюхиной, д. 16</x:v>
      </x:c>
      <x:c r="L30" s="36" t="str">
        <x:v>FMC</x:v>
      </x:c>
      <x:c r="M30" s="36" t="str">
        <x:v>Нет</x:v>
      </x:c>
      <x:c r="N30" s="36" t="str">
        <x:v>INSTALL</x:v>
      </x:c>
      <x:c r="O30" s="36" t="n">
        <x:v>60</x:v>
      </x:c>
      <x:c r="P30" s="36" t="str">
        <x:v>NORMAL</x:v>
      </x:c>
      <x:c r="Q30" s="36" t="str">
        <x:v>ANY</x:v>
      </x:c>
      <x:c r="R30" s="36" t="str">
        <x:v>DIAG_SET|INSTALL_SET|CABLE_PACK</x:v>
      </x:c>
      <x:c r="S30" s="49" t="n">
        <x:v>46251.291666666664</x:v>
      </x:c>
      <x:c r="T30" s="37" t="b">
        <x:v>0</x:v>
      </x:c>
      <x:c r="U30" s="36" t="str">
        <x:v>PENDING</x:v>
      </x:c>
      <x:c r="V30" s="36"/>
      <x:c r="W30" s="36"/>
      <x:c r="X30" s="36" t="str">
        <x:v>needs_geocoding</x:v>
      </x:c>
    </x:row>
    <x:row r="31" ht="15" hidden="0" customHeight="1">
      <x:c r="A31" s="36" t="str">
        <x:v>STRESS</x:v>
      </x:c>
      <x:c r="B31" s="36" t="str">
        <x:v>EAST-82808</x:v>
      </x:c>
      <x:c r="C31" s="36" t="str">
        <x:v>82808</x:v>
      </x:c>
      <x:c r="D31" s="36" t="str">
        <x:v>EAST</x:v>
      </x:c>
      <x:c r="E31" s="36" t="str">
        <x:v>Восток</x:v>
      </x:c>
      <x:c r="F31" s="36" t="str">
        <x:v>Подключение</x:v>
      </x:c>
      <x:c r="G31" s="36" t="str">
        <x:v>Конвергенция абонента</x:v>
      </x:c>
      <x:c r="H31" s="49" t="n">
        <x:v>46251.583333333336</x:v>
      </x:c>
      <x:c r="I31" s="49" t="n">
        <x:v>46251.666666666664</x:v>
      </x:c>
      <x:c r="J31" s="36" t="str">
        <x:v>Нижегородский</x:v>
      </x:c>
      <x:c r="K31" s="36" t="str">
        <x:v>Город Москва, ул.3-я Карачаровская, д. 4 к 1</x:v>
      </x:c>
      <x:c r="L31" s="36" t="str">
        <x:v>FMC</x:v>
      </x:c>
      <x:c r="M31" s="36" t="str">
        <x:v>Нет</x:v>
      </x:c>
      <x:c r="N31" s="36" t="str">
        <x:v>INSTALL</x:v>
      </x:c>
      <x:c r="O31" s="36" t="n">
        <x:v>60</x:v>
      </x:c>
      <x:c r="P31" s="36" t="str">
        <x:v>NORMAL</x:v>
      </x:c>
      <x:c r="Q31" s="36" t="str">
        <x:v>ANY</x:v>
      </x:c>
      <x:c r="R31" s="36" t="str">
        <x:v>DIAG_SET|INSTALL_SET|CABLE_PACK</x:v>
      </x:c>
      <x:c r="S31" s="49" t="n">
        <x:v>46251.291666666664</x:v>
      </x:c>
      <x:c r="T31" s="37" t="b">
        <x:v>0</x:v>
      </x:c>
      <x:c r="U31" s="36" t="str">
        <x:v>PENDING</x:v>
      </x:c>
      <x:c r="V31" s="36"/>
      <x:c r="W31" s="36"/>
      <x:c r="X31" s="36" t="str">
        <x:v>needs_geocoding</x:v>
      </x:c>
    </x:row>
    <x:row r="32" ht="15" hidden="0" customHeight="1">
      <x:c r="A32" s="36" t="str">
        <x:v>STRESS</x:v>
      </x:c>
      <x:c r="B32" s="36" t="str">
        <x:v>EAST-7939</x:v>
      </x:c>
      <x:c r="C32" s="36" t="str">
        <x:v>7939</x:v>
      </x:c>
      <x:c r="D32" s="36" t="str">
        <x:v>EAST</x:v>
      </x:c>
      <x:c r="E32" s="36" t="str">
        <x:v>Восток</x:v>
      </x:c>
      <x:c r="F32" s="36" t="str">
        <x:v>Подключение</x:v>
      </x:c>
      <x:c r="G32" s="36" t="str">
        <x:v>Конвергенция абонента</x:v>
      </x:c>
      <x:c r="H32" s="49" t="n">
        <x:v>46251.5</x:v>
      </x:c>
      <x:c r="I32" s="49" t="n">
        <x:v>46251.583333333336</x:v>
      </x:c>
      <x:c r="J32" s="36" t="str">
        <x:v>Рязанский</x:v>
      </x:c>
      <x:c r="K32" s="36" t="str">
        <x:v>Город Москва, пр-кт.Рязанский, д. 73</x:v>
      </x:c>
      <x:c r="L32" s="36" t="str">
        <x:v>FMC</x:v>
      </x:c>
      <x:c r="M32" s="36" t="str">
        <x:v>Нет</x:v>
      </x:c>
      <x:c r="N32" s="36" t="str">
        <x:v>INSTALL</x:v>
      </x:c>
      <x:c r="O32" s="36" t="n">
        <x:v>60</x:v>
      </x:c>
      <x:c r="P32" s="36" t="str">
        <x:v>NORMAL</x:v>
      </x:c>
      <x:c r="Q32" s="36" t="str">
        <x:v>ANY</x:v>
      </x:c>
      <x:c r="R32" s="36" t="str">
        <x:v>DIAG_SET|INSTALL_SET|CABLE_PACK</x:v>
      </x:c>
      <x:c r="S32" s="49" t="n">
        <x:v>46251.291666666664</x:v>
      </x:c>
      <x:c r="T32" s="37" t="b">
        <x:v>0</x:v>
      </x:c>
      <x:c r="U32" s="36" t="str">
        <x:v>PENDING</x:v>
      </x:c>
      <x:c r="V32" s="36"/>
      <x:c r="W32" s="36"/>
      <x:c r="X32" s="36" t="str">
        <x:v>needs_geocoding</x:v>
      </x:c>
    </x:row>
    <x:row r="33" ht="15" hidden="0" customHeight="1">
      <x:c r="A33" s="36" t="str">
        <x:v>STRESS</x:v>
      </x:c>
      <x:c r="B33" s="36" t="str">
        <x:v>EAST-92031</x:v>
      </x:c>
      <x:c r="C33" s="36" t="str">
        <x:v>92031</x:v>
      </x:c>
      <x:c r="D33" s="36" t="str">
        <x:v>EAST</x:v>
      </x:c>
      <x:c r="E33" s="36" t="str">
        <x:v>Восток</x:v>
      </x:c>
      <x:c r="F33" s="36" t="str">
        <x:v>Дозаказ</x:v>
      </x:c>
      <x:c r="G33" s="36" t="str">
        <x:v>Дозаказ оборудования</x:v>
      </x:c>
      <x:c r="H33" s="49" t="n">
        <x:v>46251.75</x:v>
      </x:c>
      <x:c r="I33" s="49" t="n">
        <x:v>46251.833333333336</x:v>
      </x:c>
      <x:c r="J33" s="36" t="str">
        <x:v>Выхино</x:v>
      </x:c>
      <x:c r="K33" s="36" t="str">
        <x:v>Город Москва, ул.Ферганская, д. 28/7</x:v>
      </x:c>
      <x:c r="L33" s="36" t="str">
        <x:v>FMC</x:v>
      </x:c>
      <x:c r="M33" s="36" t="str">
        <x:v>Нет</x:v>
      </x:c>
      <x:c r="N33" s="36" t="str">
        <x:v>INSTALL</x:v>
      </x:c>
      <x:c r="O33" s="36" t="n">
        <x:v>45</x:v>
      </x:c>
      <x:c r="P33" s="36" t="str">
        <x:v>NORMAL</x:v>
      </x:c>
      <x:c r="Q33" s="36" t="str">
        <x:v>ANY</x:v>
      </x:c>
      <x:c r="R33" s="36" t="str">
        <x:v>DIAG_SET|INSTALL_SET</x:v>
      </x:c>
      <x:c r="S33" s="49" t="n">
        <x:v>46251.291666666664</x:v>
      </x:c>
      <x:c r="T33" s="37" t="b">
        <x:v>0</x:v>
      </x:c>
      <x:c r="U33" s="36" t="str">
        <x:v>PENDING</x:v>
      </x:c>
      <x:c r="V33" s="36"/>
      <x:c r="W33" s="36"/>
      <x:c r="X33" s="36" t="str">
        <x:v>needs_geocoding</x:v>
      </x:c>
    </x:row>
    <x:row r="34" ht="15" hidden="0" customHeight="1">
      <x:c r="A34" s="36" t="str">
        <x:v>STRESS</x:v>
      </x:c>
      <x:c r="B34" s="36" t="str">
        <x:v>EAST-31260</x:v>
      </x:c>
      <x:c r="C34" s="36" t="str">
        <x:v>31260</x:v>
      </x:c>
      <x:c r="D34" s="36" t="str">
        <x:v>EAST</x:v>
      </x:c>
      <x:c r="E34" s="36" t="str">
        <x:v>Восток</x:v>
      </x:c>
      <x:c r="F34" s="36" t="str">
        <x:v>Дозаказ</x:v>
      </x:c>
      <x:c r="G34" s="36" t="str">
        <x:v>Дозаказ оборудования</x:v>
      </x:c>
      <x:c r="H34" s="49" t="n">
        <x:v>46251.833333333336</x:v>
      </x:c>
      <x:c r="I34" s="49" t="n">
        <x:v>46251.916666666664</x:v>
      </x:c>
      <x:c r="J34" s="36" t="str">
        <x:v>Выхино</x:v>
      </x:c>
      <x:c r="K34" s="36" t="str">
        <x:v>Город Москва, б-р.Самаркандский Квартал 137а, д. к5</x:v>
      </x:c>
      <x:c r="L34" s="36" t="str">
        <x:v>FMC</x:v>
      </x:c>
      <x:c r="M34" s="36" t="str">
        <x:v>Нет</x:v>
      </x:c>
      <x:c r="N34" s="36" t="str">
        <x:v>INSTALL</x:v>
      </x:c>
      <x:c r="O34" s="36" t="n">
        <x:v>45</x:v>
      </x:c>
      <x:c r="P34" s="36" t="str">
        <x:v>NORMAL</x:v>
      </x:c>
      <x:c r="Q34" s="36" t="str">
        <x:v>ANY</x:v>
      </x:c>
      <x:c r="R34" s="36" t="str">
        <x:v>DIAG_SET|INSTALL_SET</x:v>
      </x:c>
      <x:c r="S34" s="49" t="n">
        <x:v>46251.291666666664</x:v>
      </x:c>
      <x:c r="T34" s="37" t="b">
        <x:v>0</x:v>
      </x:c>
      <x:c r="U34" s="36" t="str">
        <x:v>PENDING</x:v>
      </x:c>
      <x:c r="V34" s="36"/>
      <x:c r="W34" s="36"/>
      <x:c r="X34" s="36" t="str">
        <x:v>needs_geocoding</x:v>
      </x:c>
    </x:row>
    <x:row r="35" ht="15" hidden="0" customHeight="1">
      <x:c r="A35" s="36" t="str">
        <x:v>STRESS</x:v>
      </x:c>
      <x:c r="B35" s="36" t="str">
        <x:v>EAST-69967</x:v>
      </x:c>
      <x:c r="C35" s="36" t="str">
        <x:v>69967</x:v>
      </x:c>
      <x:c r="D35" s="36" t="str">
        <x:v>EAST</x:v>
      </x:c>
      <x:c r="E35" s="36" t="str">
        <x:v>Восток</x:v>
      </x:c>
      <x:c r="F35" s="36" t="str">
        <x:v>Дозаказ</x:v>
      </x:c>
      <x:c r="G35" s="36" t="str">
        <x:v>Заказ подключения/Дозаказ оборудования</x:v>
      </x:c>
      <x:c r="H35" s="49" t="n">
        <x:v>46251.416666666664</x:v>
      </x:c>
      <x:c r="I35" s="49" t="n">
        <x:v>46251.5</x:v>
      </x:c>
      <x:c r="J35" s="36" t="str">
        <x:v>Лефортово</x:v>
      </x:c>
      <x:c r="K35" s="36" t="str">
        <x:v>Город Москва, ул.Боровая, д. 14</x:v>
      </x:c>
      <x:c r="L35" s="36" t="str">
        <x:v>FTTB</x:v>
      </x:c>
      <x:c r="M35" s="36" t="str">
        <x:v>Да</x:v>
      </x:c>
      <x:c r="N35" s="36" t="str">
        <x:v>INSTALL</x:v>
      </x:c>
      <x:c r="O35" s="36" t="n">
        <x:v>75</x:v>
      </x:c>
      <x:c r="P35" s="36" t="str">
        <x:v>NORMAL</x:v>
      </x:c>
      <x:c r="Q35" s="36" t="str">
        <x:v>CAR</x:v>
      </x:c>
      <x:c r="R35" s="36" t="str">
        <x:v>DIAG_SET|INSTALL_SET|CABLE_PACK|ONT_GIGABIT</x:v>
      </x:c>
      <x:c r="S35" s="49" t="n">
        <x:v>46251.291666666664</x:v>
      </x:c>
      <x:c r="T35" s="37" t="b">
        <x:v>0</x:v>
      </x:c>
      <x:c r="U35" s="36" t="str">
        <x:v>PENDING</x:v>
      </x:c>
      <x:c r="V35" s="36"/>
      <x:c r="W35" s="36"/>
      <x:c r="X35" s="36" t="str">
        <x:v>needs_geocoding</x:v>
      </x:c>
    </x:row>
    <x:row r="36" ht="15" hidden="0" customHeight="1">
      <x:c r="A36" s="36" t="str">
        <x:v>STRESS</x:v>
      </x:c>
      <x:c r="B36" s="36" t="str">
        <x:v>EAST-22634</x:v>
      </x:c>
      <x:c r="C36" s="36" t="str">
        <x:v>22634</x:v>
      </x:c>
      <x:c r="D36" s="36" t="str">
        <x:v>EAST</x:v>
      </x:c>
      <x:c r="E36" s="36" t="str">
        <x:v>Восток</x:v>
      </x:c>
      <x:c r="F36" s="36" t="str">
        <x:v>Дозаказ</x:v>
      </x:c>
      <x:c r="G36" s="36" t="str">
        <x:v>Дозаказ оборудования</x:v>
      </x:c>
      <x:c r="H36" s="49" t="n">
        <x:v>46251.583333333336</x:v>
      </x:c>
      <x:c r="I36" s="49" t="n">
        <x:v>46251.666666666664</x:v>
      </x:c>
      <x:c r="J36" s="36" t="str">
        <x:v>Таганский</x:v>
      </x:c>
      <x:c r="K36" s="36" t="str">
        <x:v>Город Москва, ул.Стройковская, д. 8</x:v>
      </x:c>
      <x:c r="L36" s="36" t="str">
        <x:v>FMC</x:v>
      </x:c>
      <x:c r="M36" s="36" t="str">
        <x:v>Нет</x:v>
      </x:c>
      <x:c r="N36" s="36" t="str">
        <x:v>INSTALL</x:v>
      </x:c>
      <x:c r="O36" s="36" t="n">
        <x:v>45</x:v>
      </x:c>
      <x:c r="P36" s="36" t="str">
        <x:v>NORMAL</x:v>
      </x:c>
      <x:c r="Q36" s="36" t="str">
        <x:v>ANY</x:v>
      </x:c>
      <x:c r="R36" s="36" t="str">
        <x:v>DIAG_SET|INSTALL_SET</x:v>
      </x:c>
      <x:c r="S36" s="49" t="n">
        <x:v>46251.291666666664</x:v>
      </x:c>
      <x:c r="T36" s="37" t="b">
        <x:v>0</x:v>
      </x:c>
      <x:c r="U36" s="36" t="str">
        <x:v>PENDING</x:v>
      </x:c>
      <x:c r="V36" s="36"/>
      <x:c r="W36" s="36"/>
      <x:c r="X36" s="36" t="str">
        <x:v>needs_geocoding</x:v>
      </x:c>
    </x:row>
    <x:row r="37" ht="15" hidden="0" customHeight="1">
      <x:c r="A37" s="36" t="str">
        <x:v>STRESS</x:v>
      </x:c>
      <x:c r="B37" s="36" t="str">
        <x:v>EAST-98815</x:v>
      </x:c>
      <x:c r="C37" s="36" t="str">
        <x:v>98815</x:v>
      </x:c>
      <x:c r="D37" s="36" t="str">
        <x:v>EAST</x:v>
      </x:c>
      <x:c r="E37" s="36" t="str">
        <x:v>Восток</x:v>
      </x:c>
      <x:c r="F37" s="36" t="str">
        <x:v>Дозаказ</x:v>
      </x:c>
      <x:c r="G37" s="36" t="str">
        <x:v>Дозаказ оборудования</x:v>
      </x:c>
      <x:c r="H37" s="49" t="n">
        <x:v>46251.75</x:v>
      </x:c>
      <x:c r="I37" s="49" t="n">
        <x:v>46251.833333333336</x:v>
      </x:c>
      <x:c r="J37" s="36" t="str">
        <x:v>Лефортово</x:v>
      </x:c>
      <x:c r="K37" s="36" t="str">
        <x:v>Город Москва, ул.2-я Синичкина, д. 9 к 1</x:v>
      </x:c>
      <x:c r="L37" s="36" t="str">
        <x:v>FMC</x:v>
      </x:c>
      <x:c r="M37" s="36" t="str">
        <x:v>Нет</x:v>
      </x:c>
      <x:c r="N37" s="36" t="str">
        <x:v>INSTALL</x:v>
      </x:c>
      <x:c r="O37" s="36" t="n">
        <x:v>45</x:v>
      </x:c>
      <x:c r="P37" s="36" t="str">
        <x:v>NORMAL</x:v>
      </x:c>
      <x:c r="Q37" s="36" t="str">
        <x:v>ANY</x:v>
      </x:c>
      <x:c r="R37" s="36" t="str">
        <x:v>DIAG_SET|INSTALL_SET</x:v>
      </x:c>
      <x:c r="S37" s="49" t="n">
        <x:v>46251.291666666664</x:v>
      </x:c>
      <x:c r="T37" s="37" t="b">
        <x:v>0</x:v>
      </x:c>
      <x:c r="U37" s="36" t="str">
        <x:v>PENDING</x:v>
      </x:c>
      <x:c r="V37" s="36"/>
      <x:c r="W37" s="36"/>
      <x:c r="X37" s="36" t="str">
        <x:v>needs_geocoding</x:v>
      </x:c>
    </x:row>
    <x:row r="38" ht="15" hidden="0" customHeight="1">
      <x:c r="A38" s="36" t="str">
        <x:v>STRESS</x:v>
      </x:c>
      <x:c r="B38" s="36" t="str">
        <x:v>EAST-33527</x:v>
      </x:c>
      <x:c r="C38" s="36" t="str">
        <x:v>33527</x:v>
      </x:c>
      <x:c r="D38" s="36" t="str">
        <x:v>EAST</x:v>
      </x:c>
      <x:c r="E38" s="36" t="str">
        <x:v>Восток</x:v>
      </x:c>
      <x:c r="F38" s="36" t="str">
        <x:v>Дозаказ</x:v>
      </x:c>
      <x:c r="G38" s="36" t="str">
        <x:v>Дозаказ оборудования</x:v>
      </x:c>
      <x:c r="H38" s="49" t="n">
        <x:v>46251.416666666664</x:v>
      </x:c>
      <x:c r="I38" s="49" t="n">
        <x:v>46251.5</x:v>
      </x:c>
      <x:c r="J38" s="36" t="str">
        <x:v>Нижегородский</x:v>
      </x:c>
      <x:c r="K38" s="36" t="str">
        <x:v>Москва, проезд Орехово-Зуевский, д. 18/8</x:v>
      </x:c>
      <x:c r="L38" s="36" t="str">
        <x:v>FMC</x:v>
      </x:c>
      <x:c r="M38" s="36" t="str">
        <x:v>Нет</x:v>
      </x:c>
      <x:c r="N38" s="36" t="str">
        <x:v>INSTALL</x:v>
      </x:c>
      <x:c r="O38" s="36" t="n">
        <x:v>45</x:v>
      </x:c>
      <x:c r="P38" s="36" t="str">
        <x:v>NORMAL</x:v>
      </x:c>
      <x:c r="Q38" s="36" t="str">
        <x:v>ANY</x:v>
      </x:c>
      <x:c r="R38" s="36" t="str">
        <x:v>DIAG_SET|INSTALL_SET</x:v>
      </x:c>
      <x:c r="S38" s="49" t="n">
        <x:v>46251.291666666664</x:v>
      </x:c>
      <x:c r="T38" s="37" t="b">
        <x:v>0</x:v>
      </x:c>
      <x:c r="U38" s="36" t="str">
        <x:v>PENDING</x:v>
      </x:c>
      <x:c r="V38" s="36"/>
      <x:c r="W38" s="36"/>
      <x:c r="X38" s="36" t="str">
        <x:v>needs_geocoding</x:v>
      </x:c>
    </x:row>
    <x:row r="39" ht="15" hidden="0" customHeight="1">
      <x:c r="A39" s="36" t="str">
        <x:v>STRESS</x:v>
      </x:c>
      <x:c r="B39" s="36" t="str">
        <x:v>EAST-21571</x:v>
      </x:c>
      <x:c r="C39" s="36" t="str">
        <x:v>21571</x:v>
      </x:c>
      <x:c r="D39" s="36" t="str">
        <x:v>EAST</x:v>
      </x:c>
      <x:c r="E39" s="36" t="str">
        <x:v>Восток</x:v>
      </x:c>
      <x:c r="F39" s="36" t="str">
        <x:v>Локальная заявка</x:v>
      </x:c>
      <x:c r="G39" s="36" t="str">
        <x:v>Нет линка</x:v>
      </x:c>
      <x:c r="H39" s="49" t="n">
        <x:v>46251.75</x:v>
      </x:c>
      <x:c r="I39" s="49" t="n">
        <x:v>46251.833333333336</x:v>
      </x:c>
      <x:c r="J39" s="36" t="str">
        <x:v>Таганский</x:v>
      </x:c>
      <x:c r="K39" s="36" t="str">
        <x:v>Город Москва, пер.Большой Рогожский, д. 10 к 2</x:v>
      </x:c>
      <x:c r="L39" s="36" t="str"/>
      <x:c r="M39" s="36" t="str">
        <x:v>Нет</x:v>
      </x:c>
      <x:c r="N39" s="36" t="str">
        <x:v>LOCAL</x:v>
      </x:c>
      <x:c r="O39" s="36" t="n">
        <x:v>45</x:v>
      </x:c>
      <x:c r="P39" s="36" t="str">
        <x:v>NORMAL</x:v>
      </x:c>
      <x:c r="Q39" s="36" t="str">
        <x:v>ANY</x:v>
      </x:c>
      <x:c r="R39" s="36" t="str">
        <x:v>DIAG_SET</x:v>
      </x:c>
      <x:c r="S39" s="49" t="n">
        <x:v>46251.291666666664</x:v>
      </x:c>
      <x:c r="T39" s="37" t="b">
        <x:v>0</x:v>
      </x:c>
      <x:c r="U39" s="36" t="str">
        <x:v>PENDING</x:v>
      </x:c>
      <x:c r="V39" s="36"/>
      <x:c r="W39" s="36"/>
      <x:c r="X39" s="36" t="str">
        <x:v>needs_geocoding</x:v>
      </x:c>
    </x:row>
    <x:row r="40" ht="15" hidden="0" customHeight="1">
      <x:c r="A40" s="36" t="str">
        <x:v>STRESS</x:v>
      </x:c>
      <x:c r="B40" s="36" t="str">
        <x:v>EAST-47670</x:v>
      </x:c>
      <x:c r="C40" s="36" t="str">
        <x:v>47670</x:v>
      </x:c>
      <x:c r="D40" s="36" t="str">
        <x:v>EAST</x:v>
      </x:c>
      <x:c r="E40" s="36" t="str">
        <x:v>Восток</x:v>
      </x:c>
      <x:c r="F40" s="36" t="str">
        <x:v>Локальная заявка</x:v>
      </x:c>
      <x:c r="G40" s="36" t="str">
        <x:v>Нет линка</x:v>
      </x:c>
      <x:c r="H40" s="49" t="n">
        <x:v>46251.833333333336</x:v>
      </x:c>
      <x:c r="I40" s="49" t="n">
        <x:v>46251.916666666664</x:v>
      </x:c>
      <x:c r="J40" s="36" t="str">
        <x:v>Басманный</x:v>
      </x:c>
      <x:c r="K40" s="36" t="str">
        <x:v>Город Москва, ул.Машкова, д. 13 стр. 1</x:v>
      </x:c>
      <x:c r="L40" s="36" t="str"/>
      <x:c r="M40" s="36" t="str">
        <x:v>Нет</x:v>
      </x:c>
      <x:c r="N40" s="36" t="str">
        <x:v>LOCAL</x:v>
      </x:c>
      <x:c r="O40" s="36" t="n">
        <x:v>45</x:v>
      </x:c>
      <x:c r="P40" s="36" t="str">
        <x:v>NORMAL</x:v>
      </x:c>
      <x:c r="Q40" s="36" t="str">
        <x:v>ANY</x:v>
      </x:c>
      <x:c r="R40" s="36" t="str">
        <x:v>DIAG_SET</x:v>
      </x:c>
      <x:c r="S40" s="49" t="n">
        <x:v>46251.291666666664</x:v>
      </x:c>
      <x:c r="T40" s="37" t="b">
        <x:v>0</x:v>
      </x:c>
      <x:c r="U40" s="36" t="str">
        <x:v>PENDING</x:v>
      </x:c>
      <x:c r="V40" s="36"/>
      <x:c r="W40" s="36"/>
      <x:c r="X40" s="36" t="str">
        <x:v>needs_geocoding</x:v>
      </x:c>
    </x:row>
    <x:row r="41" ht="15" hidden="0" customHeight="1">
      <x:c r="A41" s="36" t="str">
        <x:v>STRESS</x:v>
      </x:c>
      <x:c r="B41" s="36" t="str">
        <x:v>EAST-17892</x:v>
      </x:c>
      <x:c r="C41" s="36" t="str">
        <x:v>17892</x:v>
      </x:c>
      <x:c r="D41" s="36" t="str">
        <x:v>EAST</x:v>
      </x:c>
      <x:c r="E41" s="36" t="str">
        <x:v>Восток</x:v>
      </x:c>
      <x:c r="F41" s="36" t="str">
        <x:v>Локальная заявка</x:v>
      </x:c>
      <x:c r="G41" s="36" t="str">
        <x:v>Переключение на Гбит/с</x:v>
      </x:c>
      <x:c r="H41" s="49" t="n">
        <x:v>46251.75</x:v>
      </x:c>
      <x:c r="I41" s="49" t="n">
        <x:v>46251.833333333336</x:v>
      </x:c>
      <x:c r="J41" s="36" t="str">
        <x:v>Текстильщики</x:v>
      </x:c>
      <x:c r="K41" s="36" t="str">
        <x:v>Город Москва, ул.11-я Текстильщиков, д. 10</x:v>
      </x:c>
      <x:c r="L41" s="36" t="str"/>
      <x:c r="M41" s="36" t="str">
        <x:v>Нет</x:v>
      </x:c>
      <x:c r="N41" s="36" t="str">
        <x:v>LOCAL</x:v>
      </x:c>
      <x:c r="O41" s="36" t="n">
        <x:v>60</x:v>
      </x:c>
      <x:c r="P41" s="36" t="str">
        <x:v>NORMAL</x:v>
      </x:c>
      <x:c r="Q41" s="36" t="str">
        <x:v>ANY</x:v>
      </x:c>
      <x:c r="R41" s="36" t="str">
        <x:v>DIAG_SET|INSTALL_SET</x:v>
      </x:c>
      <x:c r="S41" s="49" t="n">
        <x:v>46251.291666666664</x:v>
      </x:c>
      <x:c r="T41" s="37" t="b">
        <x:v>0</x:v>
      </x:c>
      <x:c r="U41" s="36" t="str">
        <x:v>PENDING</x:v>
      </x:c>
      <x:c r="V41" s="36"/>
      <x:c r="W41" s="36"/>
      <x:c r="X41" s="36" t="str">
        <x:v>needs_geocoding</x:v>
      </x:c>
    </x:row>
    <x:row r="42" ht="15" hidden="0" customHeight="1">
      <x:c r="A42" s="36" t="str">
        <x:v>STRESS</x:v>
      </x:c>
      <x:c r="B42" s="36" t="str">
        <x:v>EAST-51115</x:v>
      </x:c>
      <x:c r="C42" s="36" t="str">
        <x:v>51115</x:v>
      </x:c>
      <x:c r="D42" s="36" t="str">
        <x:v>EAST</x:v>
      </x:c>
      <x:c r="E42" s="36" t="str">
        <x:v>Восток</x:v>
      </x:c>
      <x:c r="F42" s="36" t="str">
        <x:v>Локальная заявка</x:v>
      </x:c>
      <x:c r="G42" s="36" t="str">
        <x:v>Нет линка</x:v>
      </x:c>
      <x:c r="H42" s="49" t="n">
        <x:v>46251.75</x:v>
      </x:c>
      <x:c r="I42" s="49" t="n">
        <x:v>46251.833333333336</x:v>
      </x:c>
      <x:c r="J42" s="36" t="str">
        <x:v>Рязанский</x:v>
      </x:c>
      <x:c r="K42" s="36" t="str">
        <x:v>Город Москва, ул.Паперника, д. 18</x:v>
      </x:c>
      <x:c r="L42" s="36" t="str"/>
      <x:c r="M42" s="36" t="str">
        <x:v>Нет</x:v>
      </x:c>
      <x:c r="N42" s="36" t="str">
        <x:v>LOCAL</x:v>
      </x:c>
      <x:c r="O42" s="36" t="n">
        <x:v>45</x:v>
      </x:c>
      <x:c r="P42" s="36" t="str">
        <x:v>NORMAL</x:v>
      </x:c>
      <x:c r="Q42" s="36" t="str">
        <x:v>ANY</x:v>
      </x:c>
      <x:c r="R42" s="36" t="str">
        <x:v>DIAG_SET</x:v>
      </x:c>
      <x:c r="S42" s="49" t="n">
        <x:v>46251.291666666664</x:v>
      </x:c>
      <x:c r="T42" s="37" t="b">
        <x:v>0</x:v>
      </x:c>
      <x:c r="U42" s="36" t="str">
        <x:v>PENDING</x:v>
      </x:c>
      <x:c r="V42" s="36"/>
      <x:c r="W42" s="36"/>
      <x:c r="X42" s="36" t="str">
        <x:v>needs_geocoding</x:v>
      </x:c>
    </x:row>
    <x:row r="43" ht="15" hidden="0" customHeight="1">
      <x:c r="A43" s="36" t="str">
        <x:v>STRESS</x:v>
      </x:c>
      <x:c r="B43" s="36" t="str">
        <x:v>EAST-76643</x:v>
      </x:c>
      <x:c r="C43" s="36" t="str">
        <x:v>76643</x:v>
      </x:c>
      <x:c r="D43" s="36" t="str">
        <x:v>EAST</x:v>
      </x:c>
      <x:c r="E43" s="36" t="str">
        <x:v>Восток</x:v>
      </x:c>
      <x:c r="F43" s="36" t="str">
        <x:v>Локальная заявка</x:v>
      </x:c>
      <x:c r="G43" s="36" t="str">
        <x:v>Нет линка</x:v>
      </x:c>
      <x:c r="H43" s="49" t="n">
        <x:v>46251.75</x:v>
      </x:c>
      <x:c r="I43" s="49" t="n">
        <x:v>46251.833333333336</x:v>
      </x:c>
      <x:c r="J43" s="36" t="str">
        <x:v>Таганский</x:v>
      </x:c>
      <x:c r="K43" s="36" t="str">
        <x:v>Город Москва, ул.Большая Калитниковская, д. 38</x:v>
      </x:c>
      <x:c r="L43" s="36" t="str"/>
      <x:c r="M43" s="36" t="str">
        <x:v>Нет</x:v>
      </x:c>
      <x:c r="N43" s="36" t="str">
        <x:v>LOCAL</x:v>
      </x:c>
      <x:c r="O43" s="36" t="n">
        <x:v>45</x:v>
      </x:c>
      <x:c r="P43" s="36" t="str">
        <x:v>NORMAL</x:v>
      </x:c>
      <x:c r="Q43" s="36" t="str">
        <x:v>ANY</x:v>
      </x:c>
      <x:c r="R43" s="36" t="str">
        <x:v>DIAG_SET</x:v>
      </x:c>
      <x:c r="S43" s="49" t="n">
        <x:v>46251.291666666664</x:v>
      </x:c>
      <x:c r="T43" s="37" t="b">
        <x:v>0</x:v>
      </x:c>
      <x:c r="U43" s="36" t="str">
        <x:v>PENDING</x:v>
      </x:c>
      <x:c r="V43" s="36"/>
      <x:c r="W43" s="36"/>
      <x:c r="X43" s="36" t="str">
        <x:v>needs_geocoding</x:v>
      </x:c>
    </x:row>
    <x:row r="44" ht="15" hidden="0" customHeight="1">
      <x:c r="A44" s="36" t="str">
        <x:v>STRESS</x:v>
      </x:c>
      <x:c r="B44" s="36" t="str">
        <x:v>EAST-43506</x:v>
      </x:c>
      <x:c r="C44" s="36" t="str">
        <x:v>43506</x:v>
      </x:c>
      <x:c r="D44" s="36" t="str">
        <x:v>EAST</x:v>
      </x:c>
      <x:c r="E44" s="36" t="str">
        <x:v>Восток</x:v>
      </x:c>
      <x:c r="F44" s="36" t="str">
        <x:v>Локальная заявка</x:v>
      </x:c>
      <x:c r="G44" s="36" t="str">
        <x:v>Переключение на Гбит/с</x:v>
      </x:c>
      <x:c r="H44" s="49" t="n">
        <x:v>46251.833333333336</x:v>
      </x:c>
      <x:c r="I44" s="49" t="n">
        <x:v>46251.916666666664</x:v>
      </x:c>
      <x:c r="J44" s="36" t="str">
        <x:v>Выхино</x:v>
      </x:c>
      <x:c r="K44" s="36" t="str">
        <x:v>Город Москва, б-р.Самаркандский Квартал 137а, д. к5</x:v>
      </x:c>
      <x:c r="L44" s="36" t="str"/>
      <x:c r="M44" s="36" t="str">
        <x:v>Нет</x:v>
      </x:c>
      <x:c r="N44" s="36" t="str">
        <x:v>LOCAL</x:v>
      </x:c>
      <x:c r="O44" s="36" t="n">
        <x:v>60</x:v>
      </x:c>
      <x:c r="P44" s="36" t="str">
        <x:v>NORMAL</x:v>
      </x:c>
      <x:c r="Q44" s="36" t="str">
        <x:v>ANY</x:v>
      </x:c>
      <x:c r="R44" s="36" t="str">
        <x:v>DIAG_SET|INSTALL_SET</x:v>
      </x:c>
      <x:c r="S44" s="49" t="n">
        <x:v>46251.291666666664</x:v>
      </x:c>
      <x:c r="T44" s="37" t="b">
        <x:v>0</x:v>
      </x:c>
      <x:c r="U44" s="36" t="str">
        <x:v>PENDING</x:v>
      </x:c>
      <x:c r="V44" s="36"/>
      <x:c r="W44" s="36"/>
      <x:c r="X44" s="36" t="str">
        <x:v>needs_geocoding</x:v>
      </x:c>
    </x:row>
    <x:row r="45" ht="15" hidden="0" customHeight="1">
      <x:c r="A45" s="36" t="str">
        <x:v>STRESS</x:v>
      </x:c>
      <x:c r="B45" s="36" t="str">
        <x:v>EAST-48174</x:v>
      </x:c>
      <x:c r="C45" s="36" t="str">
        <x:v>48174</x:v>
      </x:c>
      <x:c r="D45" s="36" t="str">
        <x:v>EAST</x:v>
      </x:c>
      <x:c r="E45" s="36" t="str">
        <x:v>Восток</x:v>
      </x:c>
      <x:c r="F45" s="36" t="str">
        <x:v>Локальная заявка</x:v>
      </x:c>
      <x:c r="G45" s="36" t="str">
        <x:v>Мониторинг</x:v>
      </x:c>
      <x:c r="H45" s="49" t="n">
        <x:v>46251.75</x:v>
      </x:c>
      <x:c r="I45" s="49" t="n">
        <x:v>46251.833333333336</x:v>
      </x:c>
      <x:c r="J45" s="36" t="str">
        <x:v>Кузьминки</x:v>
      </x:c>
      <x:c r="K45" s="36" t="str">
        <x:v>Город Москва, ул.Маршала Чуйкова, д. 9 к 2</x:v>
      </x:c>
      <x:c r="L45" s="36" t="str"/>
      <x:c r="M45" s="36" t="str">
        <x:v>Нет</x:v>
      </x:c>
      <x:c r="N45" s="36" t="str">
        <x:v>LOCAL</x:v>
      </x:c>
      <x:c r="O45" s="36" t="n">
        <x:v>30</x:v>
      </x:c>
      <x:c r="P45" s="36" t="str">
        <x:v>NORMAL</x:v>
      </x:c>
      <x:c r="Q45" s="36" t="str">
        <x:v>ANY</x:v>
      </x:c>
      <x:c r="R45" s="36" t="str">
        <x:v>DIAG_SET</x:v>
      </x:c>
      <x:c r="S45" s="49" t="n">
        <x:v>46251.291666666664</x:v>
      </x:c>
      <x:c r="T45" s="37" t="b">
        <x:v>0</x:v>
      </x:c>
      <x:c r="U45" s="36" t="str">
        <x:v>PENDING</x:v>
      </x:c>
      <x:c r="V45" s="36"/>
      <x:c r="W45" s="36"/>
      <x:c r="X45" s="36" t="str">
        <x:v>needs_geocoding</x:v>
      </x:c>
    </x:row>
    <x:row r="46" ht="15" hidden="0" customHeight="1">
      <x:c r="A46" s="36" t="str">
        <x:v>STRESS</x:v>
      </x:c>
      <x:c r="B46" s="36" t="str">
        <x:v>EAST-48227</x:v>
      </x:c>
      <x:c r="C46" s="36" t="str">
        <x:v>48227</x:v>
      </x:c>
      <x:c r="D46" s="36" t="str">
        <x:v>EAST</x:v>
      </x:c>
      <x:c r="E46" s="36" t="str">
        <x:v>Восток</x:v>
      </x:c>
      <x:c r="F46" s="36" t="str">
        <x:v>Локальная заявка</x:v>
      </x:c>
      <x:c r="G46" s="36" t="str">
        <x:v>Нет линка</x:v>
      </x:c>
      <x:c r="H46" s="49" t="n">
        <x:v>46251.5</x:v>
      </x:c>
      <x:c r="I46" s="49" t="n">
        <x:v>46251.583333333336</x:v>
      </x:c>
      <x:c r="J46" s="36" t="str">
        <x:v>Таганский</x:v>
      </x:c>
      <x:c r="K46" s="36" t="str">
        <x:v>Город Москва, ул.Талалихина, д. 16</x:v>
      </x:c>
      <x:c r="L46" s="36" t="str"/>
      <x:c r="M46" s="36" t="str">
        <x:v>Нет</x:v>
      </x:c>
      <x:c r="N46" s="36" t="str">
        <x:v>LOCAL</x:v>
      </x:c>
      <x:c r="O46" s="36" t="n">
        <x:v>45</x:v>
      </x:c>
      <x:c r="P46" s="36" t="str">
        <x:v>NORMAL</x:v>
      </x:c>
      <x:c r="Q46" s="36" t="str">
        <x:v>ANY</x:v>
      </x:c>
      <x:c r="R46" s="36" t="str">
        <x:v>DIAG_SET</x:v>
      </x:c>
      <x:c r="S46" s="49" t="n">
        <x:v>46251.291666666664</x:v>
      </x:c>
      <x:c r="T46" s="37" t="b">
        <x:v>0</x:v>
      </x:c>
      <x:c r="U46" s="36" t="str">
        <x:v>PENDING</x:v>
      </x:c>
      <x:c r="V46" s="36"/>
      <x:c r="W46" s="36"/>
      <x:c r="X46" s="36" t="str">
        <x:v>needs_geocoding</x:v>
      </x:c>
    </x:row>
    <x:row r="47" ht="15" hidden="0" customHeight="1">
      <x:c r="A47" s="36" t="str">
        <x:v>STRESS</x:v>
      </x:c>
      <x:c r="B47" s="36" t="str">
        <x:v>EAST-60720</x:v>
      </x:c>
      <x:c r="C47" s="36" t="str">
        <x:v>60720</x:v>
      </x:c>
      <x:c r="D47" s="36" t="str">
        <x:v>EAST</x:v>
      </x:c>
      <x:c r="E47" s="36" t="str">
        <x:v>Восток</x:v>
      </x:c>
      <x:c r="F47" s="36" t="str">
        <x:v>Локальная заявка</x:v>
      </x:c>
      <x:c r="G47" s="36" t="str">
        <x:v>Нет линка</x:v>
      </x:c>
      <x:c r="H47" s="49" t="n">
        <x:v>46251.5</x:v>
      </x:c>
      <x:c r="I47" s="49" t="n">
        <x:v>46251.583333333336</x:v>
      </x:c>
      <x:c r="J47" s="36" t="str">
        <x:v>Текстильщики</x:v>
      </x:c>
      <x:c r="K47" s="36" t="str">
        <x:v>Город Москва, б-р.Волжский, д. 50 к 2</x:v>
      </x:c>
      <x:c r="L47" s="36" t="str"/>
      <x:c r="M47" s="36" t="str">
        <x:v>Нет</x:v>
      </x:c>
      <x:c r="N47" s="36" t="str">
        <x:v>LOCAL</x:v>
      </x:c>
      <x:c r="O47" s="36" t="n">
        <x:v>45</x:v>
      </x:c>
      <x:c r="P47" s="36" t="str">
        <x:v>NORMAL</x:v>
      </x:c>
      <x:c r="Q47" s="36" t="str">
        <x:v>ANY</x:v>
      </x:c>
      <x:c r="R47" s="36" t="str">
        <x:v>DIAG_SET</x:v>
      </x:c>
      <x:c r="S47" s="49" t="n">
        <x:v>46251.291666666664</x:v>
      </x:c>
      <x:c r="T47" s="37" t="b">
        <x:v>0</x:v>
      </x:c>
      <x:c r="U47" s="36" t="str">
        <x:v>PENDING</x:v>
      </x:c>
      <x:c r="V47" s="36"/>
      <x:c r="W47" s="36"/>
      <x:c r="X47" s="36" t="str">
        <x:v>needs_geocoding</x:v>
      </x:c>
    </x:row>
    <x:row r="48" ht="15" hidden="0" customHeight="1">
      <x:c r="A48" s="36" t="str">
        <x:v>STRESS</x:v>
      </x:c>
      <x:c r="B48" s="36" t="str">
        <x:v>EAST-48238</x:v>
      </x:c>
      <x:c r="C48" s="36" t="str">
        <x:v>48238</x:v>
      </x:c>
      <x:c r="D48" s="36" t="str">
        <x:v>EAST</x:v>
      </x:c>
      <x:c r="E48" s="36" t="str">
        <x:v>Восток</x:v>
      </x:c>
      <x:c r="F48" s="36" t="str">
        <x:v>Локальная заявка</x:v>
      </x:c>
      <x:c r="G48" s="36" t="str">
        <x:v>Разрывы</x:v>
      </x:c>
      <x:c r="H48" s="49" t="n">
        <x:v>46251.583333333336</x:v>
      </x:c>
      <x:c r="I48" s="49" t="n">
        <x:v>46251.666666666664</x:v>
      </x:c>
      <x:c r="J48" s="36" t="str">
        <x:v>Текстильщики</x:v>
      </x:c>
      <x:c r="K48" s="36" t="str">
        <x:v>Город Москва, ул.Артюхиной, д. 3</x:v>
      </x:c>
      <x:c r="L48" s="36" t="str"/>
      <x:c r="M48" s="36" t="str">
        <x:v>Нет</x:v>
      </x:c>
      <x:c r="N48" s="36" t="str">
        <x:v>LOCAL</x:v>
      </x:c>
      <x:c r="O48" s="36" t="n">
        <x:v>45</x:v>
      </x:c>
      <x:c r="P48" s="36" t="str">
        <x:v>NORMAL</x:v>
      </x:c>
      <x:c r="Q48" s="36" t="str">
        <x:v>ANY</x:v>
      </x:c>
      <x:c r="R48" s="36" t="str">
        <x:v>DIAG_SET</x:v>
      </x:c>
      <x:c r="S48" s="49" t="n">
        <x:v>46251.291666666664</x:v>
      </x:c>
      <x:c r="T48" s="37" t="b">
        <x:v>0</x:v>
      </x:c>
      <x:c r="U48" s="36" t="str">
        <x:v>PENDING</x:v>
      </x:c>
      <x:c r="V48" s="36"/>
      <x:c r="W48" s="36"/>
      <x:c r="X48" s="36" t="str">
        <x:v>needs_geocoding</x:v>
      </x:c>
    </x:row>
    <x:row r="49" ht="15" hidden="0" customHeight="1">
      <x:c r="A49" s="36" t="str">
        <x:v>STRESS</x:v>
      </x:c>
      <x:c r="B49" s="36" t="str">
        <x:v>EAST-41912</x:v>
      </x:c>
      <x:c r="C49" s="36" t="str">
        <x:v>41912</x:v>
      </x:c>
      <x:c r="D49" s="36" t="str">
        <x:v>EAST</x:v>
      </x:c>
      <x:c r="E49" s="36" t="str">
        <x:v>Восток</x:v>
      </x:c>
      <x:c r="F49" s="36" t="str">
        <x:v>Локальная заявка</x:v>
      </x:c>
      <x:c r="G49" s="36" t="str">
        <x:v>Нет линка</x:v>
      </x:c>
      <x:c r="H49" s="49" t="n">
        <x:v>46251.5</x:v>
      </x:c>
      <x:c r="I49" s="49" t="n">
        <x:v>46251.583333333336</x:v>
      </x:c>
      <x:c r="J49" s="36" t="str">
        <x:v>Выхино</x:v>
      </x:c>
      <x:c r="K49" s="36" t="str">
        <x:v>Город Москва, проезд.Ферганский, д. 7 к 5</x:v>
      </x:c>
      <x:c r="L49" s="36" t="str"/>
      <x:c r="M49" s="36" t="str">
        <x:v>Нет</x:v>
      </x:c>
      <x:c r="N49" s="36" t="str">
        <x:v>LOCAL</x:v>
      </x:c>
      <x:c r="O49" s="36" t="n">
        <x:v>45</x:v>
      </x:c>
      <x:c r="P49" s="36" t="str">
        <x:v>NORMAL</x:v>
      </x:c>
      <x:c r="Q49" s="36" t="str">
        <x:v>ANY</x:v>
      </x:c>
      <x:c r="R49" s="36" t="str">
        <x:v>DIAG_SET</x:v>
      </x:c>
      <x:c r="S49" s="49" t="n">
        <x:v>46251.291666666664</x:v>
      </x:c>
      <x:c r="T49" s="37" t="b">
        <x:v>0</x:v>
      </x:c>
      <x:c r="U49" s="36" t="str">
        <x:v>PENDING</x:v>
      </x:c>
      <x:c r="V49" s="36"/>
      <x:c r="W49" s="36"/>
      <x:c r="X49" s="36" t="str">
        <x:v>needs_geocoding</x:v>
      </x:c>
    </x:row>
    <x:row r="50" ht="15" hidden="0" customHeight="1">
      <x:c r="A50" s="36" t="str">
        <x:v>STRESS</x:v>
      </x:c>
      <x:c r="B50" s="36" t="str">
        <x:v>EAST-4893</x:v>
      </x:c>
      <x:c r="C50" s="36" t="str">
        <x:v>4893</x:v>
      </x:c>
      <x:c r="D50" s="36" t="str">
        <x:v>EAST</x:v>
      </x:c>
      <x:c r="E50" s="36" t="str">
        <x:v>Восток</x:v>
      </x:c>
      <x:c r="F50" s="36" t="str">
        <x:v>Локальная заявка</x:v>
      </x:c>
      <x:c r="G50" s="36" t="str">
        <x:v>Нет линка</x:v>
      </x:c>
      <x:c r="H50" s="49" t="n">
        <x:v>46251.5</x:v>
      </x:c>
      <x:c r="I50" s="49" t="n">
        <x:v>46251.583333333336</x:v>
      </x:c>
      <x:c r="J50" s="36" t="str">
        <x:v>Басманный</x:v>
      </x:c>
      <x:c r="K50" s="36" t="str">
        <x:v>Город Москва, ул.Земляной Вал, д. 24/30 стр. 1</x:v>
      </x:c>
      <x:c r="L50" s="36" t="str"/>
      <x:c r="M50" s="36" t="str">
        <x:v>Нет</x:v>
      </x:c>
      <x:c r="N50" s="36" t="str">
        <x:v>LOCAL</x:v>
      </x:c>
      <x:c r="O50" s="36" t="n">
        <x:v>45</x:v>
      </x:c>
      <x:c r="P50" s="36" t="str">
        <x:v>NORMAL</x:v>
      </x:c>
      <x:c r="Q50" s="36" t="str">
        <x:v>ANY</x:v>
      </x:c>
      <x:c r="R50" s="36" t="str">
        <x:v>DIAG_SET</x:v>
      </x:c>
      <x:c r="S50" s="49" t="n">
        <x:v>46251.291666666664</x:v>
      </x:c>
      <x:c r="T50" s="37" t="b">
        <x:v>0</x:v>
      </x:c>
      <x:c r="U50" s="36" t="str">
        <x:v>PENDING</x:v>
      </x:c>
      <x:c r="V50" s="36"/>
      <x:c r="W50" s="36"/>
      <x:c r="X50" s="36" t="str">
        <x:v>needs_geocoding</x:v>
      </x:c>
    </x:row>
    <x:row r="51" ht="15" hidden="0" customHeight="1">
      <x:c r="A51" s="36" t="str">
        <x:v>STRESS</x:v>
      </x:c>
      <x:c r="B51" s="36" t="str">
        <x:v>EAST-68476</x:v>
      </x:c>
      <x:c r="C51" s="36" t="str">
        <x:v>68476</x:v>
      </x:c>
      <x:c r="D51" s="36" t="str">
        <x:v>EAST</x:v>
      </x:c>
      <x:c r="E51" s="36" t="str">
        <x:v>Восток</x:v>
      </x:c>
      <x:c r="F51" s="36" t="str">
        <x:v>Локальная заявка</x:v>
      </x:c>
      <x:c r="G51" s="36" t="str">
        <x:v>Разрывы</x:v>
      </x:c>
      <x:c r="H51" s="49" t="n">
        <x:v>46251.416666666664</x:v>
      </x:c>
      <x:c r="I51" s="49" t="n">
        <x:v>46251.5</x:v>
      </x:c>
      <x:c r="J51" s="36" t="str">
        <x:v>Нижегородский</x:v>
      </x:c>
      <x:c r="K51" s="36" t="str">
        <x:v>Город Москва, ул.3-я Карачаровская, д. 8 к 2</x:v>
      </x:c>
      <x:c r="L51" s="36" t="str"/>
      <x:c r="M51" s="36" t="str">
        <x:v>Нет</x:v>
      </x:c>
      <x:c r="N51" s="36" t="str">
        <x:v>LOCAL</x:v>
      </x:c>
      <x:c r="O51" s="36" t="n">
        <x:v>45</x:v>
      </x:c>
      <x:c r="P51" s="36" t="str">
        <x:v>NORMAL</x:v>
      </x:c>
      <x:c r="Q51" s="36" t="str">
        <x:v>ANY</x:v>
      </x:c>
      <x:c r="R51" s="36" t="str">
        <x:v>DIAG_SET</x:v>
      </x:c>
      <x:c r="S51" s="49" t="n">
        <x:v>46251.291666666664</x:v>
      </x:c>
      <x:c r="T51" s="37" t="b">
        <x:v>0</x:v>
      </x:c>
      <x:c r="U51" s="36" t="str">
        <x:v>PENDING</x:v>
      </x:c>
      <x:c r="V51" s="36"/>
      <x:c r="W51" s="36"/>
      <x:c r="X51" s="36" t="str">
        <x:v>needs_geocoding</x:v>
      </x:c>
    </x:row>
    <x:row r="52" ht="15" hidden="0" customHeight="1">
      <x:c r="A52" s="36" t="str">
        <x:v>STRESS</x:v>
      </x:c>
      <x:c r="B52" s="36" t="str">
        <x:v>EAST-50219</x:v>
      </x:c>
      <x:c r="C52" s="36" t="str">
        <x:v>50219</x:v>
      </x:c>
      <x:c r="D52" s="36" t="str">
        <x:v>EAST</x:v>
      </x:c>
      <x:c r="E52" s="36" t="str">
        <x:v>Восток</x:v>
      </x:c>
      <x:c r="F52" s="36" t="str">
        <x:v>Локальная заявка</x:v>
      </x:c>
      <x:c r="G52" s="36" t="str">
        <x:v>Нет линка</x:v>
      </x:c>
      <x:c r="H52" s="49" t="n">
        <x:v>46251.416666666664</x:v>
      </x:c>
      <x:c r="I52" s="49" t="n">
        <x:v>46251.5</x:v>
      </x:c>
      <x:c r="J52" s="36" t="str">
        <x:v>Нижегородский</x:v>
      </x:c>
      <x:c r="K52" s="36" t="str">
        <x:v>Город Москва, ул.Чистопольская, д. 2 к 2</x:v>
      </x:c>
      <x:c r="L52" s="36" t="str"/>
      <x:c r="M52" s="36" t="str">
        <x:v>Нет</x:v>
      </x:c>
      <x:c r="N52" s="36" t="str">
        <x:v>LOCAL</x:v>
      </x:c>
      <x:c r="O52" s="36" t="n">
        <x:v>45</x:v>
      </x:c>
      <x:c r="P52" s="36" t="str">
        <x:v>NORMAL</x:v>
      </x:c>
      <x:c r="Q52" s="36" t="str">
        <x:v>ANY</x:v>
      </x:c>
      <x:c r="R52" s="36" t="str">
        <x:v>DIAG_SET</x:v>
      </x:c>
      <x:c r="S52" s="49" t="n">
        <x:v>46251.291666666664</x:v>
      </x:c>
      <x:c r="T52" s="37" t="b">
        <x:v>0</x:v>
      </x:c>
      <x:c r="U52" s="36" t="str">
        <x:v>PENDING</x:v>
      </x:c>
      <x:c r="V52" s="36"/>
      <x:c r="W52" s="36"/>
      <x:c r="X52" s="36" t="str">
        <x:v>needs_geocoding</x:v>
      </x:c>
    </x:row>
    <x:row r="53" ht="15" hidden="0" customHeight="1">
      <x:c r="A53" s="36" t="str">
        <x:v>STRESS</x:v>
      </x:c>
      <x:c r="B53" s="36" t="str">
        <x:v>EAST-76678</x:v>
      </x:c>
      <x:c r="C53" s="36" t="str">
        <x:v>76678</x:v>
      </x:c>
      <x:c r="D53" s="36" t="str">
        <x:v>EAST</x:v>
      </x:c>
      <x:c r="E53" s="36" t="str">
        <x:v>Восток</x:v>
      </x:c>
      <x:c r="F53" s="36" t="str">
        <x:v>Локальная заявка</x:v>
      </x:c>
      <x:c r="G53" s="36" t="str">
        <x:v>Работа с кабелем</x:v>
      </x:c>
      <x:c r="H53" s="49" t="n">
        <x:v>46251.416666666664</x:v>
      </x:c>
      <x:c r="I53" s="49" t="n">
        <x:v>46251.5</x:v>
      </x:c>
      <x:c r="J53" s="36" t="str">
        <x:v>Лефортово</x:v>
      </x:c>
      <x:c r="K53" s="36" t="str">
        <x:v>Город Москва, ул.Боровая, д. 12</x:v>
      </x:c>
      <x:c r="L53" s="36" t="str"/>
      <x:c r="M53" s="36" t="str">
        <x:v>Нет</x:v>
      </x:c>
      <x:c r="N53" s="36" t="str">
        <x:v>LOCAL</x:v>
      </x:c>
      <x:c r="O53" s="36" t="n">
        <x:v>75</x:v>
      </x:c>
      <x:c r="P53" s="36" t="str">
        <x:v>NORMAL</x:v>
      </x:c>
      <x:c r="Q53" s="36" t="str">
        <x:v>ANY</x:v>
      </x:c>
      <x:c r="R53" s="36" t="str">
        <x:v>DIAG_SET|CABLE_SET|CABLE_PACK</x:v>
      </x:c>
      <x:c r="S53" s="49" t="n">
        <x:v>46251.291666666664</x:v>
      </x:c>
      <x:c r="T53" s="37" t="b">
        <x:v>0</x:v>
      </x:c>
      <x:c r="U53" s="36" t="str">
        <x:v>PENDING</x:v>
      </x:c>
      <x:c r="V53" s="36"/>
      <x:c r="W53" s="36"/>
      <x:c r="X53" s="36" t="str">
        <x:v>needs_geocoding</x:v>
      </x:c>
    </x:row>
    <x:row r="54" ht="15" hidden="0" customHeight="1">
      <x:c r="A54" s="36" t="str">
        <x:v>STRESS</x:v>
      </x:c>
      <x:c r="B54" s="36" t="str">
        <x:v>EAST-47330</x:v>
      </x:c>
      <x:c r="C54" s="36" t="str">
        <x:v>47330</x:v>
      </x:c>
      <x:c r="D54" s="36" t="str">
        <x:v>EAST</x:v>
      </x:c>
      <x:c r="E54" s="36" t="str">
        <x:v>Восток</x:v>
      </x:c>
      <x:c r="F54" s="36" t="str">
        <x:v>Локальная заявка</x:v>
      </x:c>
      <x:c r="G54" s="36" t="str">
        <x:v>Роутер. Замена техническим специалистом</x:v>
      </x:c>
      <x:c r="H54" s="49" t="n">
        <x:v>46251.583333333336</x:v>
      </x:c>
      <x:c r="I54" s="49" t="n">
        <x:v>46251.666666666664</x:v>
      </x:c>
      <x:c r="J54" s="36" t="str">
        <x:v>Лефортово</x:v>
      </x:c>
      <x:c r="K54" s="36" t="str">
        <x:v>Город Москва, ул.Красноказарменная, д. 9Б стр. 1</x:v>
      </x:c>
      <x:c r="L54" s="36" t="str"/>
      <x:c r="M54" s="36" t="str">
        <x:v>Нет</x:v>
      </x:c>
      <x:c r="N54" s="36" t="str">
        <x:v>LOCAL</x:v>
      </x:c>
      <x:c r="O54" s="36" t="n">
        <x:v>45</x:v>
      </x:c>
      <x:c r="P54" s="36" t="str">
        <x:v>NORMAL</x:v>
      </x:c>
      <x:c r="Q54" s="36" t="str">
        <x:v>ANY</x:v>
      </x:c>
      <x:c r="R54" s="36" t="str">
        <x:v>DIAG_SET|ROUTER</x:v>
      </x:c>
      <x:c r="S54" s="49" t="n">
        <x:v>46251.291666666664</x:v>
      </x:c>
      <x:c r="T54" s="37" t="b">
        <x:v>0</x:v>
      </x:c>
      <x:c r="U54" s="36" t="str">
        <x:v>PENDING</x:v>
      </x:c>
      <x:c r="V54" s="36"/>
      <x:c r="W54" s="36"/>
      <x:c r="X54" s="36" t="str">
        <x:v>needs_geocoding</x:v>
      </x:c>
    </x:row>
    <x:row r="55" ht="15" hidden="0" customHeight="1">
      <x:c r="A55" s="36" t="str">
        <x:v>STRESS</x:v>
      </x:c>
      <x:c r="B55" s="36" t="str">
        <x:v>EAST-26645</x:v>
      </x:c>
      <x:c r="C55" s="36" t="str">
        <x:v>26645</x:v>
      </x:c>
      <x:c r="D55" s="36" t="str">
        <x:v>EAST</x:v>
      </x:c>
      <x:c r="E55" s="36" t="str">
        <x:v>Восток</x:v>
      </x:c>
      <x:c r="F55" s="36" t="str">
        <x:v>Локальная заявка</x:v>
      </x:c>
      <x:c r="G55" s="36" t="str">
        <x:v>TVE/ENT. Другие ошибки</x:v>
      </x:c>
      <x:c r="H55" s="49" t="n">
        <x:v>46251.666666666664</x:v>
      </x:c>
      <x:c r="I55" s="49" t="n">
        <x:v>46251.75</x:v>
      </x:c>
      <x:c r="J55" s="36" t="str">
        <x:v>Лефортово</x:v>
      </x:c>
      <x:c r="K55" s="36" t="str">
        <x:v>Город Москва, ул.Сторожевая, д. 31</x:v>
      </x:c>
      <x:c r="L55" s="36" t="str"/>
      <x:c r="M55" s="36" t="str">
        <x:v>Нет</x:v>
      </x:c>
      <x:c r="N55" s="36" t="str">
        <x:v>LOCAL</x:v>
      </x:c>
      <x:c r="O55" s="36" t="n">
        <x:v>40</x:v>
      </x:c>
      <x:c r="P55" s="36" t="str">
        <x:v>NORMAL</x:v>
      </x:c>
      <x:c r="Q55" s="36" t="str">
        <x:v>ANY</x:v>
      </x:c>
      <x:c r="R55" s="36" t="str">
        <x:v>DIAG_SET</x:v>
      </x:c>
      <x:c r="S55" s="49" t="n">
        <x:v>46251.291666666664</x:v>
      </x:c>
      <x:c r="T55" s="37" t="b">
        <x:v>0</x:v>
      </x:c>
      <x:c r="U55" s="36" t="str">
        <x:v>PENDING</x:v>
      </x:c>
      <x:c r="V55" s="36"/>
      <x:c r="W55" s="36"/>
      <x:c r="X55" s="36" t="str">
        <x:v>needs_geocoding</x:v>
      </x:c>
    </x:row>
    <x:row r="56" ht="15" hidden="0" customHeight="1">
      <x:c r="A56" s="36" t="str">
        <x:v>STRESS</x:v>
      </x:c>
      <x:c r="B56" s="36" t="str">
        <x:v>EAST-24076</x:v>
      </x:c>
      <x:c r="C56" s="36" t="str">
        <x:v>24076</x:v>
      </x:c>
      <x:c r="D56" s="36" t="str">
        <x:v>EAST</x:v>
      </x:c>
      <x:c r="E56" s="36" t="str">
        <x:v>Восток</x:v>
      </x:c>
      <x:c r="F56" s="36" t="str">
        <x:v>Локальная заявка</x:v>
      </x:c>
      <x:c r="G56" s="36" t="str">
        <x:v>Роутер. Замена техническим специалистом</x:v>
      </x:c>
      <x:c r="H56" s="49" t="n">
        <x:v>46251.5</x:v>
      </x:c>
      <x:c r="I56" s="49" t="n">
        <x:v>46251.583333333336</x:v>
      </x:c>
      <x:c r="J56" s="36" t="str">
        <x:v>Таганский</x:v>
      </x:c>
      <x:c r="K56" s="36" t="str">
        <x:v>Город Москва, ул.Новорогожская, д. 10</x:v>
      </x:c>
      <x:c r="L56" s="36" t="str"/>
      <x:c r="M56" s="36" t="str">
        <x:v>Нет</x:v>
      </x:c>
      <x:c r="N56" s="36" t="str">
        <x:v>LOCAL</x:v>
      </x:c>
      <x:c r="O56" s="36" t="n">
        <x:v>45</x:v>
      </x:c>
      <x:c r="P56" s="36" t="str">
        <x:v>NORMAL</x:v>
      </x:c>
      <x:c r="Q56" s="36" t="str">
        <x:v>ANY</x:v>
      </x:c>
      <x:c r="R56" s="36" t="str">
        <x:v>DIAG_SET|ROUTER</x:v>
      </x:c>
      <x:c r="S56" s="49" t="n">
        <x:v>46251.291666666664</x:v>
      </x:c>
      <x:c r="T56" s="37" t="b">
        <x:v>0</x:v>
      </x:c>
      <x:c r="U56" s="36" t="str">
        <x:v>PENDING</x:v>
      </x:c>
      <x:c r="V56" s="36"/>
      <x:c r="W56" s="36"/>
      <x:c r="X56" s="36" t="str">
        <x:v>needs_geocoding</x:v>
      </x:c>
    </x:row>
    <x:row r="57" ht="15" hidden="0" customHeight="1">
      <x:c r="A57" s="36" t="str">
        <x:v>STRESS</x:v>
      </x:c>
      <x:c r="B57" s="36" t="str">
        <x:v>EAST-30243</x:v>
      </x:c>
      <x:c r="C57" s="36" t="str">
        <x:v>30243</x:v>
      </x:c>
      <x:c r="D57" s="36" t="str">
        <x:v>EAST</x:v>
      </x:c>
      <x:c r="E57" s="36" t="str">
        <x:v>Восток</x:v>
      </x:c>
      <x:c r="F57" s="36" t="str">
        <x:v>Локальная заявка</x:v>
      </x:c>
      <x:c r="G57" s="36" t="str">
        <x:v>TVE/ENT. Замена приставки техником</x:v>
      </x:c>
      <x:c r="H57" s="49" t="n">
        <x:v>46251.75</x:v>
      </x:c>
      <x:c r="I57" s="49" t="n">
        <x:v>46251.833333333336</x:v>
      </x:c>
      <x:c r="J57" s="36" t="str">
        <x:v>Таганский</x:v>
      </x:c>
      <x:c r="K57" s="36" t="str">
        <x:v>Город Москва, ул.Нижегородская, д. 25</x:v>
      </x:c>
      <x:c r="L57" s="36" t="str"/>
      <x:c r="M57" s="36" t="str">
        <x:v>Нет</x:v>
      </x:c>
      <x:c r="N57" s="36" t="str">
        <x:v>LOCAL</x:v>
      </x:c>
      <x:c r="O57" s="36" t="n">
        <x:v>45</x:v>
      </x:c>
      <x:c r="P57" s="36" t="str">
        <x:v>NORMAL</x:v>
      </x:c>
      <x:c r="Q57" s="36" t="str">
        <x:v>ANY</x:v>
      </x:c>
      <x:c r="R57" s="36" t="str">
        <x:v>DIAG_SET|TV_BOX</x:v>
      </x:c>
      <x:c r="S57" s="49" t="n">
        <x:v>46251.291666666664</x:v>
      </x:c>
      <x:c r="T57" s="37" t="b">
        <x:v>0</x:v>
      </x:c>
      <x:c r="U57" s="36" t="str">
        <x:v>PENDING</x:v>
      </x:c>
      <x:c r="V57" s="36"/>
      <x:c r="W57" s="36"/>
      <x:c r="X57" s="36" t="str">
        <x:v>needs_geocoding</x:v>
      </x:c>
    </x:row>
    <x:row r="58" ht="15" hidden="0" customHeight="1">
      <x:c r="A58" s="36" t="str">
        <x:v>STRESS</x:v>
      </x:c>
      <x:c r="B58" s="36" t="str">
        <x:v>EAST-32807</x:v>
      </x:c>
      <x:c r="C58" s="36" t="str">
        <x:v>32807</x:v>
      </x:c>
      <x:c r="D58" s="36" t="str">
        <x:v>EAST</x:v>
      </x:c>
      <x:c r="E58" s="36" t="str">
        <x:v>Восток</x:v>
      </x:c>
      <x:c r="F58" s="36" t="str">
        <x:v>Локальная заявка</x:v>
      </x:c>
      <x:c r="G58" s="36" t="str">
        <x:v>Работа с кабелем</x:v>
      </x:c>
      <x:c r="H58" s="49" t="n">
        <x:v>46251.416666666664</x:v>
      </x:c>
      <x:c r="I58" s="49" t="n">
        <x:v>46251.5</x:v>
      </x:c>
      <x:c r="J58" s="36" t="str">
        <x:v>Кузьминки</x:v>
      </x:c>
      <x:c r="K58" s="36" t="str">
        <x:v>Город Москва, ул.Окская, д. 6 к 1</x:v>
      </x:c>
      <x:c r="L58" s="36" t="str"/>
      <x:c r="M58" s="36" t="str">
        <x:v>Нет</x:v>
      </x:c>
      <x:c r="N58" s="36" t="str">
        <x:v>LOCAL</x:v>
      </x:c>
      <x:c r="O58" s="36" t="n">
        <x:v>75</x:v>
      </x:c>
      <x:c r="P58" s="36" t="str">
        <x:v>NORMAL</x:v>
      </x:c>
      <x:c r="Q58" s="36" t="str">
        <x:v>ANY</x:v>
      </x:c>
      <x:c r="R58" s="36" t="str">
        <x:v>DIAG_SET|CABLE_SET|CABLE_PACK</x:v>
      </x:c>
      <x:c r="S58" s="49" t="n">
        <x:v>46251.291666666664</x:v>
      </x:c>
      <x:c r="T58" s="37" t="b">
        <x:v>0</x:v>
      </x:c>
      <x:c r="U58" s="36" t="str">
        <x:v>PENDING</x:v>
      </x:c>
      <x:c r="V58" s="36"/>
      <x:c r="W58" s="36"/>
      <x:c r="X58" s="36" t="str">
        <x:v>needs_geocoding</x:v>
      </x:c>
    </x:row>
    <x:row r="59" ht="15" hidden="0" customHeight="1">
      <x:c r="A59" s="36" t="str">
        <x:v>STRESS</x:v>
      </x:c>
      <x:c r="B59" s="36" t="str">
        <x:v>EAST-73572</x:v>
      </x:c>
      <x:c r="C59" s="36" t="str">
        <x:v>73572</x:v>
      </x:c>
      <x:c r="D59" s="36" t="str">
        <x:v>EAST</x:v>
      </x:c>
      <x:c r="E59" s="36" t="str">
        <x:v>Восток</x:v>
      </x:c>
      <x:c r="F59" s="36" t="str">
        <x:v>Локальная заявка</x:v>
      </x:c>
      <x:c r="G59" s="36" t="str">
        <x:v>Нет линка</x:v>
      </x:c>
      <x:c r="H59" s="49" t="n">
        <x:v>46251.583333333336</x:v>
      </x:c>
      <x:c r="I59" s="49" t="n">
        <x:v>46251.666666666664</x:v>
      </x:c>
      <x:c r="J59" s="36" t="str">
        <x:v>Кузьминки</x:v>
      </x:c>
      <x:c r="K59" s="36" t="str">
        <x:v>Город Москва, пр-кт.Волгоградский, д. 97 к 1</x:v>
      </x:c>
      <x:c r="L59" s="36" t="str"/>
      <x:c r="M59" s="36" t="str">
        <x:v>Нет</x:v>
      </x:c>
      <x:c r="N59" s="36" t="str">
        <x:v>LOCAL</x:v>
      </x:c>
      <x:c r="O59" s="36" t="n">
        <x:v>45</x:v>
      </x:c>
      <x:c r="P59" s="36" t="str">
        <x:v>NORMAL</x:v>
      </x:c>
      <x:c r="Q59" s="36" t="str">
        <x:v>ANY</x:v>
      </x:c>
      <x:c r="R59" s="36" t="str">
        <x:v>DIAG_SET</x:v>
      </x:c>
      <x:c r="S59" s="49" t="n">
        <x:v>46251.291666666664</x:v>
      </x:c>
      <x:c r="T59" s="37" t="b">
        <x:v>0</x:v>
      </x:c>
      <x:c r="U59" s="36" t="str">
        <x:v>PENDING</x:v>
      </x:c>
      <x:c r="V59" s="36"/>
      <x:c r="W59" s="36"/>
      <x:c r="X59" s="36" t="str">
        <x:v>needs_geocoding</x:v>
      </x:c>
    </x:row>
    <x:row r="60" ht="15" hidden="0" customHeight="1">
      <x:c r="A60" s="36" t="str">
        <x:v>STRESS</x:v>
      </x:c>
      <x:c r="B60" s="36" t="str">
        <x:v>EAST-41962</x:v>
      </x:c>
      <x:c r="C60" s="36" t="str">
        <x:v>41962</x:v>
      </x:c>
      <x:c r="D60" s="36" t="str">
        <x:v>EAST</x:v>
      </x:c>
      <x:c r="E60" s="36" t="str">
        <x:v>Восток</x:v>
      </x:c>
      <x:c r="F60" s="36" t="str">
        <x:v>Глобальная проблема</x:v>
      </x:c>
      <x:c r="G60" s="36" t="str">
        <x:v>Информация</x:v>
      </x:c>
      <x:c r="H60" s="49" t="n">
        <x:v>46251.666666666664</x:v>
      </x:c>
      <x:c r="I60" s="49" t="n">
        <x:v>46251.75</x:v>
      </x:c>
      <x:c r="J60" s="36" t="str">
        <x:v>Выхино</x:v>
      </x:c>
      <x:c r="K60" s="36" t="str">
        <x:v>г.Город Москва, б-р.Самаркандский, д. 32к1</x:v>
      </x:c>
      <x:c r="L60" s="36" t="str"/>
      <x:c r="M60" s="36" t="str">
        <x:v>Нет</x:v>
      </x:c>
      <x:c r="N60" s="36" t="str">
        <x:v>EMERGENCY</x:v>
      </x:c>
      <x:c r="O60" s="36" t="n">
        <x:v>20</x:v>
      </x:c>
      <x:c r="P60" s="36" t="str">
        <x:v>NORMAL</x:v>
      </x:c>
      <x:c r="Q60" s="36" t="str">
        <x:v>ANY</x:v>
      </x:c>
      <x:c r="R60" s="36" t="str"/>
      <x:c r="S60" s="49" t="n">
        <x:v>46251.291666666664</x:v>
      </x:c>
      <x:c r="T60" s="37" t="b">
        <x:v>0</x:v>
      </x:c>
      <x:c r="U60" s="36" t="str">
        <x:v>PENDING</x:v>
      </x:c>
      <x:c r="V60" s="36"/>
      <x:c r="W60" s="36"/>
      <x:c r="X60" s="36" t="str">
        <x:v>needs_geocoding</x:v>
      </x:c>
    </x:row>
    <x:row r="61" ht="15" hidden="0" customHeight="1">
      <x:c r="A61" s="36" t="str">
        <x:v>STRESS</x:v>
      </x:c>
      <x:c r="B61" s="36" t="str">
        <x:v>EAST-97886</x:v>
      </x:c>
      <x:c r="C61" s="36" t="str">
        <x:v>97886</x:v>
      </x:c>
      <x:c r="D61" s="36" t="str">
        <x:v>EAST</x:v>
      </x:c>
      <x:c r="E61" s="36" t="str">
        <x:v>Восток</x:v>
      </x:c>
      <x:c r="F61" s="36" t="str">
        <x:v>Глобальная проблема</x:v>
      </x:c>
      <x:c r="G61" s="36" t="str">
        <x:v>Информация</x:v>
      </x:c>
      <x:c r="H61" s="49" t="n">
        <x:v>46251.666666666664</x:v>
      </x:c>
      <x:c r="I61" s="49" t="n">
        <x:v>46251.75</x:v>
      </x:c>
      <x:c r="J61" s="36" t="str">
        <x:v>Выхино</x:v>
      </x:c>
      <x:c r="K61" s="36" t="str">
        <x:v>г.Город Москва, б-р.Самаркандский, д. 10к2</x:v>
      </x:c>
      <x:c r="L61" s="36" t="str"/>
      <x:c r="M61" s="36" t="str">
        <x:v>Нет</x:v>
      </x:c>
      <x:c r="N61" s="36" t="str">
        <x:v>EMERGENCY</x:v>
      </x:c>
      <x:c r="O61" s="36" t="n">
        <x:v>20</x:v>
      </x:c>
      <x:c r="P61" s="36" t="str">
        <x:v>NORMAL</x:v>
      </x:c>
      <x:c r="Q61" s="36" t="str">
        <x:v>ANY</x:v>
      </x:c>
      <x:c r="R61" s="36" t="str"/>
      <x:c r="S61" s="49" t="n">
        <x:v>46251.291666666664</x:v>
      </x:c>
      <x:c r="T61" s="37" t="b">
        <x:v>0</x:v>
      </x:c>
      <x:c r="U61" s="36" t="str">
        <x:v>PENDING</x:v>
      </x:c>
      <x:c r="V61" s="36"/>
      <x:c r="W61" s="36"/>
      <x:c r="X61" s="36" t="str">
        <x:v>needs_geocoding</x:v>
      </x:c>
    </x:row>
    <x:row r="62" ht="15" hidden="0" customHeight="1">
      <x:c r="A62" s="36" t="str">
        <x:v>STRESS</x:v>
      </x:c>
      <x:c r="B62" s="36" t="str">
        <x:v>EAST-17349</x:v>
      </x:c>
      <x:c r="C62" s="36" t="str">
        <x:v>17349</x:v>
      </x:c>
      <x:c r="D62" s="36" t="str">
        <x:v>EAST</x:v>
      </x:c>
      <x:c r="E62" s="36" t="str">
        <x:v>Восток</x:v>
      </x:c>
      <x:c r="F62" s="36" t="str">
        <x:v>Глобальная проблема</x:v>
      </x:c>
      <x:c r="G62" s="36" t="str">
        <x:v>Информация</x:v>
      </x:c>
      <x:c r="H62" s="49" t="n">
        <x:v>46251.583333333336</x:v>
      </x:c>
      <x:c r="I62" s="49" t="n">
        <x:v>46251.666666666664</x:v>
      </x:c>
      <x:c r="J62" s="36" t="str">
        <x:v>Таганский</x:v>
      </x:c>
      <x:c r="K62" s="36" t="str">
        <x:v>г.Город Москва, ул.Новорогожская, д. 20</x:v>
      </x:c>
      <x:c r="L62" s="36" t="str"/>
      <x:c r="M62" s="36" t="str">
        <x:v>Нет</x:v>
      </x:c>
      <x:c r="N62" s="36" t="str">
        <x:v>EMERGENCY</x:v>
      </x:c>
      <x:c r="O62" s="36" t="n">
        <x:v>20</x:v>
      </x:c>
      <x:c r="P62" s="36" t="str">
        <x:v>NORMAL</x:v>
      </x:c>
      <x:c r="Q62" s="36" t="str">
        <x:v>ANY</x:v>
      </x:c>
      <x:c r="R62" s="36" t="str"/>
      <x:c r="S62" s="49" t="n">
        <x:v>46251.291666666664</x:v>
      </x:c>
      <x:c r="T62" s="37" t="b">
        <x:v>0</x:v>
      </x:c>
      <x:c r="U62" s="36" t="str">
        <x:v>PENDING</x:v>
      </x:c>
      <x:c r="V62" s="36"/>
      <x:c r="W62" s="36"/>
      <x:c r="X62" s="36" t="str">
        <x:v>needs_geocoding</x:v>
      </x:c>
    </x:row>
    <x:row r="63" ht="15" hidden="0" customHeight="1">
      <x:c r="A63" s="36" t="str">
        <x:v>STRESS</x:v>
      </x:c>
      <x:c r="B63" s="36" t="str">
        <x:v>EAST-54964</x:v>
      </x:c>
      <x:c r="C63" s="36" t="str">
        <x:v>54964</x:v>
      </x:c>
      <x:c r="D63" s="36" t="str">
        <x:v>EAST</x:v>
      </x:c>
      <x:c r="E63" s="36" t="str">
        <x:v>Восток</x:v>
      </x:c>
      <x:c r="F63" s="36" t="str">
        <x:v>Глобальная проблема</x:v>
      </x:c>
      <x:c r="G63" s="36" t="str">
        <x:v>Информация</x:v>
      </x:c>
      <x:c r="H63" s="49" t="n">
        <x:v>46251.416666666664</x:v>
      </x:c>
      <x:c r="I63" s="49" t="n">
        <x:v>46251.5</x:v>
      </x:c>
      <x:c r="J63" s="36" t="str">
        <x:v>Выхино</x:v>
      </x:c>
      <x:c r="K63" s="36" t="str">
        <x:v>г.Город Москва, ул.Ташкентская, д. 16к2</x:v>
      </x:c>
      <x:c r="L63" s="36" t="str"/>
      <x:c r="M63" s="36" t="str">
        <x:v>Нет</x:v>
      </x:c>
      <x:c r="N63" s="36" t="str">
        <x:v>EMERGENCY</x:v>
      </x:c>
      <x:c r="O63" s="36" t="n">
        <x:v>20</x:v>
      </x:c>
      <x:c r="P63" s="36" t="str">
        <x:v>NORMAL</x:v>
      </x:c>
      <x:c r="Q63" s="36" t="str">
        <x:v>ANY</x:v>
      </x:c>
      <x:c r="R63" s="36" t="str"/>
      <x:c r="S63" s="49" t="n">
        <x:v>46251.291666666664</x:v>
      </x:c>
      <x:c r="T63" s="37" t="b">
        <x:v>0</x:v>
      </x:c>
      <x:c r="U63" s="36" t="str">
        <x:v>PENDING</x:v>
      </x:c>
      <x:c r="V63" s="36"/>
      <x:c r="W63" s="36"/>
      <x:c r="X63" s="36" t="str">
        <x:v>needs_geocoding</x:v>
      </x:c>
    </x:row>
    <x:row r="64" ht="15" hidden="0" customHeight="1">
      <x:c r="A64" s="36" t="str">
        <x:v>STRESS</x:v>
      </x:c>
      <x:c r="B64" s="36" t="str">
        <x:v>EAST-21367</x:v>
      </x:c>
      <x:c r="C64" s="36" t="str">
        <x:v>21367</x:v>
      </x:c>
      <x:c r="D64" s="36" t="str">
        <x:v>EAST</x:v>
      </x:c>
      <x:c r="E64" s="36" t="str">
        <x:v>Восток</x:v>
      </x:c>
      <x:c r="F64" s="36" t="str">
        <x:v>Глобальная проблема</x:v>
      </x:c>
      <x:c r="G64" s="36" t="str">
        <x:v>Авария</x:v>
      </x:c>
      <x:c r="H64" s="49" t="n">
        <x:v>46251.833333333336</x:v>
      </x:c>
      <x:c r="I64" s="49" t="n">
        <x:v>46251.916666666664</x:v>
      </x:c>
      <x:c r="J64" s="36" t="str">
        <x:v>Текстильщики</x:v>
      </x:c>
      <x:c r="K64" s="36" t="str">
        <x:v>г.Город Москва, ул.Саратовская, д. 16</x:v>
      </x:c>
      <x:c r="L64" s="36" t="str"/>
      <x:c r="M64" s="36" t="str">
        <x:v>Нет</x:v>
      </x:c>
      <x:c r="N64" s="36" t="str">
        <x:v>EMERGENCY</x:v>
      </x:c>
      <x:c r="O64" s="36" t="n">
        <x:v>90</x:v>
      </x:c>
      <x:c r="P64" s="36" t="str">
        <x:v>URGENT</x:v>
      </x:c>
      <x:c r="Q64" s="36" t="str">
        <x:v>ANY</x:v>
      </x:c>
      <x:c r="R64" s="36" t="str">
        <x:v>DIAG_SET|CABLE_SET|CABLE_PACK</x:v>
      </x:c>
      <x:c r="S64" s="49" t="n">
        <x:v>46251.291666666664</x:v>
      </x:c>
      <x:c r="T64" s="37" t="b">
        <x:v>0</x:v>
      </x:c>
      <x:c r="U64" s="36" t="str">
        <x:v>PENDING</x:v>
      </x:c>
      <x:c r="V64" s="36"/>
      <x:c r="W64" s="36"/>
      <x:c r="X64" s="36" t="str">
        <x:v>needs_geocoding</x:v>
      </x:c>
    </x:row>
    <x:row r="65" ht="15" hidden="0" customHeight="1">
      <x:c r="A65" s="36" t="str">
        <x:v>STRESS</x:v>
      </x:c>
      <x:c r="B65" s="36" t="str">
        <x:v>EAST-24980</x:v>
      </x:c>
      <x:c r="C65" s="36" t="str">
        <x:v>24980</x:v>
      </x:c>
      <x:c r="D65" s="36" t="str">
        <x:v>EAST</x:v>
      </x:c>
      <x:c r="E65" s="36" t="str">
        <x:v>Восток</x:v>
      </x:c>
      <x:c r="F65" s="36" t="str">
        <x:v>Глобальная проблема</x:v>
      </x:c>
      <x:c r="G65" s="36" t="str">
        <x:v>Авария</x:v>
      </x:c>
      <x:c r="H65" s="49" t="n">
        <x:v>46251.416666666664</x:v>
      </x:c>
      <x:c r="I65" s="49" t="n">
        <x:v>46251.5</x:v>
      </x:c>
      <x:c r="J65" s="36" t="str">
        <x:v>Басманный</x:v>
      </x:c>
      <x:c r="K65" s="36" t="str">
        <x:v>г.Город Москва, наб.Семеновская, д. 3/1к2</x:v>
      </x:c>
      <x:c r="L65" s="36" t="str"/>
      <x:c r="M65" s="36" t="str">
        <x:v>Нет</x:v>
      </x:c>
      <x:c r="N65" s="36" t="str">
        <x:v>EMERGENCY</x:v>
      </x:c>
      <x:c r="O65" s="36" t="n">
        <x:v>90</x:v>
      </x:c>
      <x:c r="P65" s="36" t="str">
        <x:v>URGENT</x:v>
      </x:c>
      <x:c r="Q65" s="36" t="str">
        <x:v>ANY</x:v>
      </x:c>
      <x:c r="R65" s="36" t="str">
        <x:v>DIAG_SET|CABLE_SET|CABLE_PACK</x:v>
      </x:c>
      <x:c r="S65" s="49" t="n">
        <x:v>46251.291666666664</x:v>
      </x:c>
      <x:c r="T65" s="37" t="b">
        <x:v>0</x:v>
      </x:c>
      <x:c r="U65" s="36" t="str">
        <x:v>PENDING</x:v>
      </x:c>
      <x:c r="V65" s="36"/>
      <x:c r="W65" s="36"/>
      <x:c r="X65" s="36" t="str">
        <x:v>needs_geocoding</x:v>
      </x:c>
    </x:row>
    <x:row r="66" ht="15" hidden="0" customHeight="1">
      <x:c r="A66" s="36" t="str">
        <x:v>STRESS</x:v>
      </x:c>
      <x:c r="B66" s="36" t="str">
        <x:v>EAST-15648</x:v>
      </x:c>
      <x:c r="C66" s="36" t="str">
        <x:v>15648</x:v>
      </x:c>
      <x:c r="D66" s="36" t="str">
        <x:v>EAST</x:v>
      </x:c>
      <x:c r="E66" s="36" t="str">
        <x:v>Восток</x:v>
      </x:c>
      <x:c r="F66" s="36" t="str">
        <x:v>Глобальная проблема</x:v>
      </x:c>
      <x:c r="G66" s="36" t="str">
        <x:v>Информация</x:v>
      </x:c>
      <x:c r="H66" s="49" t="n">
        <x:v>46251.666666666664</x:v>
      </x:c>
      <x:c r="I66" s="49" t="n">
        <x:v>46251.75</x:v>
      </x:c>
      <x:c r="J66" s="36" t="str">
        <x:v>Басманный</x:v>
      </x:c>
      <x:c r="K66" s="36" t="str">
        <x:v>г.Город Москва, наб.Семеновская, д. 2/1</x:v>
      </x:c>
      <x:c r="L66" s="36" t="str"/>
      <x:c r="M66" s="36" t="str">
        <x:v>Нет</x:v>
      </x:c>
      <x:c r="N66" s="36" t="str">
        <x:v>EMERGENCY</x:v>
      </x:c>
      <x:c r="O66" s="36" t="n">
        <x:v>20</x:v>
      </x:c>
      <x:c r="P66" s="36" t="str">
        <x:v>NORMAL</x:v>
      </x:c>
      <x:c r="Q66" s="36" t="str">
        <x:v>ANY</x:v>
      </x:c>
      <x:c r="R66" s="36" t="str"/>
      <x:c r="S66" s="49" t="n">
        <x:v>46251.291666666664</x:v>
      </x:c>
      <x:c r="T66" s="37" t="b">
        <x:v>0</x:v>
      </x:c>
      <x:c r="U66" s="36" t="str">
        <x:v>PENDING</x:v>
      </x:c>
      <x:c r="V66" s="36"/>
      <x:c r="W66" s="36"/>
      <x:c r="X66" s="36" t="str">
        <x:v>needs_geocoding</x:v>
      </x:c>
    </x:row>
    <x:row r="67" ht="15" hidden="0" customHeight="1">
      <x:c r="A67" s="36" t="str">
        <x:v>STRESS</x:v>
      </x:c>
      <x:c r="B67" s="36" t="str">
        <x:v>EAST-57299</x:v>
      </x:c>
      <x:c r="C67" s="36" t="str">
        <x:v>57299</x:v>
      </x:c>
      <x:c r="D67" s="36" t="str">
        <x:v>EAST</x:v>
      </x:c>
      <x:c r="E67" s="36" t="str">
        <x:v>Восток</x:v>
      </x:c>
      <x:c r="F67" s="36" t="str">
        <x:v>Глобальная проблема</x:v>
      </x:c>
      <x:c r="G67" s="36" t="str">
        <x:v>Авария</x:v>
      </x:c>
      <x:c r="H67" s="49" t="n">
        <x:v>46251.833333333336</x:v>
      </x:c>
      <x:c r="I67" s="49" t="n">
        <x:v>46251.916666666664</x:v>
      </x:c>
      <x:c r="J67" s="36" t="str">
        <x:v>Кузьминки</x:v>
      </x:c>
      <x:c r="K67" s="36" t="str">
        <x:v>г.Город Москва, пр-кт.Волгоградский, д. 128к1</x:v>
      </x:c>
      <x:c r="L67" s="36" t="str"/>
      <x:c r="M67" s="36" t="str">
        <x:v>Нет</x:v>
      </x:c>
      <x:c r="N67" s="36" t="str">
        <x:v>EMERGENCY</x:v>
      </x:c>
      <x:c r="O67" s="36" t="n">
        <x:v>90</x:v>
      </x:c>
      <x:c r="P67" s="36" t="str">
        <x:v>URGENT</x:v>
      </x:c>
      <x:c r="Q67" s="36" t="str">
        <x:v>ANY</x:v>
      </x:c>
      <x:c r="R67" s="36" t="str">
        <x:v>DIAG_SET|CABLE_SET|CABLE_PACK</x:v>
      </x:c>
      <x:c r="S67" s="49" t="n">
        <x:v>46251.291666666664</x:v>
      </x:c>
      <x:c r="T67" s="37" t="b">
        <x:v>0</x:v>
      </x:c>
      <x:c r="U67" s="36" t="str">
        <x:v>PENDING</x:v>
      </x:c>
      <x:c r="V67" s="36"/>
      <x:c r="W67" s="36"/>
      <x:c r="X67" s="36" t="str">
        <x:v>needs_geocoding</x:v>
      </x:c>
    </x:row>
    <x:row r="68" ht="15" hidden="0" customHeight="1">
      <x:c r="A68" s="36" t="str">
        <x:v>STRESS</x:v>
      </x:c>
      <x:c r="B68" s="36" t="str">
        <x:v>SOUTHEAST-67472</x:v>
      </x:c>
      <x:c r="C68" s="36" t="str">
        <x:v>67472</x:v>
      </x:c>
      <x:c r="D68" s="36" t="str">
        <x:v>SOUTHEAST</x:v>
      </x:c>
      <x:c r="E68" s="36" t="str">
        <x:v>Юго-восток</x:v>
      </x:c>
      <x:c r="F68" s="36" t="str">
        <x:v>Подключение</x:v>
      </x:c>
      <x:c r="G68" s="36" t="str">
        <x:v>Заказ подключения/Дозаказ оборудования</x:v>
      </x:c>
      <x:c r="H68" s="49" t="n">
        <x:v>46251.666666666664</x:v>
      </x:c>
      <x:c r="I68" s="49" t="n">
        <x:v>46251.75</x:v>
      </x:c>
      <x:c r="J68" s="36" t="str">
        <x:v>Домодедово</x:v>
      </x:c>
      <x:c r="K68" s="36" t="str">
        <x:v>Домодедово, проезд.Советский 1-й, д. 1А</x:v>
      </x:c>
      <x:c r="L68" s="36" t="str"/>
      <x:c r="M68" s="36" t="str">
        <x:v>Нет</x:v>
      </x:c>
      <x:c r="N68" s="36" t="str">
        <x:v>INSTALL</x:v>
      </x:c>
      <x:c r="O68" s="36" t="n">
        <x:v>75</x:v>
      </x:c>
      <x:c r="P68" s="36" t="str">
        <x:v>NORMAL</x:v>
      </x:c>
      <x:c r="Q68" s="36" t="str">
        <x:v>CAR</x:v>
      </x:c>
      <x:c r="R68" s="36" t="str">
        <x:v>DIAG_SET|INSTALL_SET|CABLE_PACK</x:v>
      </x:c>
      <x:c r="S68" s="49" t="n">
        <x:v>46251.291666666664</x:v>
      </x:c>
      <x:c r="T68" s="37" t="b">
        <x:v>0</x:v>
      </x:c>
      <x:c r="U68" s="36" t="str">
        <x:v>PENDING</x:v>
      </x:c>
      <x:c r="V68" s="36"/>
      <x:c r="W68" s="36"/>
      <x:c r="X68" s="36" t="str">
        <x:v>needs_geocoding</x:v>
      </x:c>
    </x:row>
    <x:row r="69" ht="15" hidden="0" customHeight="1">
      <x:c r="A69" s="36" t="str">
        <x:v>STRESS</x:v>
      </x:c>
      <x:c r="B69" s="36" t="str">
        <x:v>SOUTHEAST-84466</x:v>
      </x:c>
      <x:c r="C69" s="36" t="str">
        <x:v>84466</x:v>
      </x:c>
      <x:c r="D69" s="36" t="str">
        <x:v>SOUTHEAST</x:v>
      </x:c>
      <x:c r="E69" s="36" t="str">
        <x:v>Юго-восток</x:v>
      </x:c>
      <x:c r="F69" s="36" t="str">
        <x:v>Подключение</x:v>
      </x:c>
      <x:c r="G69" s="36" t="str">
        <x:v>Конвергенция абонента</x:v>
      </x:c>
      <x:c r="H69" s="49" t="n">
        <x:v>46251.75</x:v>
      </x:c>
      <x:c r="I69" s="49" t="n">
        <x:v>46251.833333333336</x:v>
      </x:c>
      <x:c r="J69" s="36" t="str">
        <x:v>Орехово Борисово Южное</x:v>
      </x:c>
      <x:c r="K69" s="36" t="str">
        <x:v>Город Москва, проезд.Гурьевский, д. 23 к 1</x:v>
      </x:c>
      <x:c r="L69" s="36" t="str"/>
      <x:c r="M69" s="36" t="str">
        <x:v>Нет</x:v>
      </x:c>
      <x:c r="N69" s="36" t="str">
        <x:v>INSTALL</x:v>
      </x:c>
      <x:c r="O69" s="36" t="n">
        <x:v>60</x:v>
      </x:c>
      <x:c r="P69" s="36" t="str">
        <x:v>NORMAL</x:v>
      </x:c>
      <x:c r="Q69" s="36" t="str">
        <x:v>ANY</x:v>
      </x:c>
      <x:c r="R69" s="36" t="str">
        <x:v>DIAG_SET|INSTALL_SET|CABLE_PACK</x:v>
      </x:c>
      <x:c r="S69" s="49" t="n">
        <x:v>46251.291666666664</x:v>
      </x:c>
      <x:c r="T69" s="37" t="b">
        <x:v>0</x:v>
      </x:c>
      <x:c r="U69" s="36" t="str">
        <x:v>PENDING</x:v>
      </x:c>
      <x:c r="V69" s="36"/>
      <x:c r="W69" s="36"/>
      <x:c r="X69" s="36" t="str">
        <x:v>needs_geocoding</x:v>
      </x:c>
    </x:row>
    <x:row r="70" ht="15" hidden="0" customHeight="1">
      <x:c r="A70" s="36" t="str">
        <x:v>STRESS</x:v>
      </x:c>
      <x:c r="B70" s="36" t="str">
        <x:v>SOUTHEAST-14416</x:v>
      </x:c>
      <x:c r="C70" s="36" t="str">
        <x:v>14416</x:v>
      </x:c>
      <x:c r="D70" s="36" t="str">
        <x:v>SOUTHEAST</x:v>
      </x:c>
      <x:c r="E70" s="36" t="str">
        <x:v>Юго-восток</x:v>
      </x:c>
      <x:c r="F70" s="36" t="str">
        <x:v>Подключение</x:v>
      </x:c>
      <x:c r="G70" s="36" t="str">
        <x:v>Заказ подключения/Дозаказ оборудования</x:v>
      </x:c>
      <x:c r="H70" s="49" t="n">
        <x:v>46251.666666666664</x:v>
      </x:c>
      <x:c r="I70" s="49" t="n">
        <x:v>46251.75</x:v>
      </x:c>
      <x:c r="J70" s="36" t="str">
        <x:v>Зябликово</x:v>
      </x:c>
      <x:c r="K70" s="36" t="str">
        <x:v>Город Москва, ул.Кустанайская, д. 8 к 1</x:v>
      </x:c>
      <x:c r="L70" s="36" t="str"/>
      <x:c r="M70" s="36" t="str">
        <x:v>Нет</x:v>
      </x:c>
      <x:c r="N70" s="36" t="str">
        <x:v>INSTALL</x:v>
      </x:c>
      <x:c r="O70" s="36" t="n">
        <x:v>75</x:v>
      </x:c>
      <x:c r="P70" s="36" t="str">
        <x:v>NORMAL</x:v>
      </x:c>
      <x:c r="Q70" s="36" t="str">
        <x:v>ANY</x:v>
      </x:c>
      <x:c r="R70" s="36" t="str">
        <x:v>DIAG_SET|INSTALL_SET|CABLE_PACK</x:v>
      </x:c>
      <x:c r="S70" s="49" t="n">
        <x:v>46251.291666666664</x:v>
      </x:c>
      <x:c r="T70" s="37" t="b">
        <x:v>0</x:v>
      </x:c>
      <x:c r="U70" s="36" t="str">
        <x:v>PENDING</x:v>
      </x:c>
      <x:c r="V70" s="36"/>
      <x:c r="W70" s="36"/>
      <x:c r="X70" s="36" t="str">
        <x:v>needs_geocoding</x:v>
      </x:c>
    </x:row>
    <x:row r="71" ht="15" hidden="0" customHeight="1">
      <x:c r="A71" s="36" t="str">
        <x:v>STRESS</x:v>
      </x:c>
      <x:c r="B71" s="36" t="str">
        <x:v>SOUTHEAST-68359</x:v>
      </x:c>
      <x:c r="C71" s="36" t="str">
        <x:v>68359</x:v>
      </x:c>
      <x:c r="D71" s="36" t="str">
        <x:v>SOUTHEAST</x:v>
      </x:c>
      <x:c r="E71" s="36" t="str">
        <x:v>Юго-восток</x:v>
      </x:c>
      <x:c r="F71" s="36" t="str">
        <x:v>Подключение</x:v>
      </x:c>
      <x:c r="G71" s="36" t="str">
        <x:v>Конвергенция абонента</x:v>
      </x:c>
      <x:c r="H71" s="49" t="n">
        <x:v>46251.666666666664</x:v>
      </x:c>
      <x:c r="I71" s="49" t="n">
        <x:v>46251.75</x:v>
      </x:c>
      <x:c r="J71" s="36" t="str">
        <x:v>Орехово Борисово Южное</x:v>
      </x:c>
      <x:c r="K71" s="36" t="str">
        <x:v>Город Москва, ш.Каширское, д. 136</x:v>
      </x:c>
      <x:c r="L71" s="36" t="str"/>
      <x:c r="M71" s="36" t="str">
        <x:v>Нет</x:v>
      </x:c>
      <x:c r="N71" s="36" t="str">
        <x:v>INSTALL</x:v>
      </x:c>
      <x:c r="O71" s="36" t="n">
        <x:v>60</x:v>
      </x:c>
      <x:c r="P71" s="36" t="str">
        <x:v>NORMAL</x:v>
      </x:c>
      <x:c r="Q71" s="36" t="str">
        <x:v>CAR</x:v>
      </x:c>
      <x:c r="R71" s="36" t="str">
        <x:v>DIAG_SET|INSTALL_SET|CABLE_PACK</x:v>
      </x:c>
      <x:c r="S71" s="49" t="n">
        <x:v>46251.291666666664</x:v>
      </x:c>
      <x:c r="T71" s="37" t="b">
        <x:v>0</x:v>
      </x:c>
      <x:c r="U71" s="36" t="str">
        <x:v>PENDING</x:v>
      </x:c>
      <x:c r="V71" s="36"/>
      <x:c r="W71" s="36"/>
      <x:c r="X71" s="36" t="str">
        <x:v>needs_geocoding</x:v>
      </x:c>
    </x:row>
    <x:row r="72" ht="15" hidden="0" customHeight="1">
      <x:c r="A72" s="36" t="str">
        <x:v>STRESS</x:v>
      </x:c>
      <x:c r="B72" s="36" t="str">
        <x:v>SOUTHEAST-66944</x:v>
      </x:c>
      <x:c r="C72" s="36" t="str">
        <x:v>66944</x:v>
      </x:c>
      <x:c r="D72" s="36" t="str">
        <x:v>SOUTHEAST</x:v>
      </x:c>
      <x:c r="E72" s="36" t="str">
        <x:v>Юго-восток</x:v>
      </x:c>
      <x:c r="F72" s="36" t="str">
        <x:v>Подключение</x:v>
      </x:c>
      <x:c r="G72" s="36" t="str">
        <x:v>Конвергенция абонента</x:v>
      </x:c>
      <x:c r="H72" s="49" t="n">
        <x:v>46251.416666666664</x:v>
      </x:c>
      <x:c r="I72" s="49" t="n">
        <x:v>46251.5</x:v>
      </x:c>
      <x:c r="J72" s="36" t="str">
        <x:v>Домодедово</x:v>
      </x:c>
      <x:c r="K72" s="36" t="str">
        <x:v>Домодедово, ул.Зеленая, д. 85</x:v>
      </x:c>
      <x:c r="L72" s="36" t="str"/>
      <x:c r="M72" s="36" t="str">
        <x:v>Нет</x:v>
      </x:c>
      <x:c r="N72" s="36" t="str">
        <x:v>INSTALL</x:v>
      </x:c>
      <x:c r="O72" s="36" t="n">
        <x:v>60</x:v>
      </x:c>
      <x:c r="P72" s="36" t="str">
        <x:v>NORMAL</x:v>
      </x:c>
      <x:c r="Q72" s="36" t="str">
        <x:v>CAR</x:v>
      </x:c>
      <x:c r="R72" s="36" t="str">
        <x:v>DIAG_SET|INSTALL_SET|CABLE_PACK</x:v>
      </x:c>
      <x:c r="S72" s="49" t="n">
        <x:v>46251.291666666664</x:v>
      </x:c>
      <x:c r="T72" s="37" t="b">
        <x:v>0</x:v>
      </x:c>
      <x:c r="U72" s="36" t="str">
        <x:v>PENDING</x:v>
      </x:c>
      <x:c r="V72" s="36"/>
      <x:c r="W72" s="36"/>
      <x:c r="X72" s="36" t="str">
        <x:v>needs_geocoding</x:v>
      </x:c>
    </x:row>
    <x:row r="73" ht="15" hidden="0" customHeight="1">
      <x:c r="A73" s="36" t="str">
        <x:v>STRESS</x:v>
      </x:c>
      <x:c r="B73" s="36" t="str">
        <x:v>SOUTHEAST-52041</x:v>
      </x:c>
      <x:c r="C73" s="36" t="str">
        <x:v>52041</x:v>
      </x:c>
      <x:c r="D73" s="36" t="str">
        <x:v>SOUTHEAST</x:v>
      </x:c>
      <x:c r="E73" s="36" t="str">
        <x:v>Юго-восток</x:v>
      </x:c>
      <x:c r="F73" s="36" t="str">
        <x:v>Подключение</x:v>
      </x:c>
      <x:c r="G73" s="36" t="str">
        <x:v>Конвергенция абонента</x:v>
      </x:c>
      <x:c r="H73" s="49" t="n">
        <x:v>46251.5</x:v>
      </x:c>
      <x:c r="I73" s="49" t="n">
        <x:v>46251.583333333336</x:v>
      </x:c>
      <x:c r="J73" s="36" t="str">
        <x:v>Москворечье - Сабурово</x:v>
      </x:c>
      <x:c r="K73" s="36" t="str">
        <x:v>Город Москва, ул.Москворечье, д. 4 к 6</x:v>
      </x:c>
      <x:c r="L73" s="36" t="str"/>
      <x:c r="M73" s="36" t="str">
        <x:v>Нет</x:v>
      </x:c>
      <x:c r="N73" s="36" t="str">
        <x:v>INSTALL</x:v>
      </x:c>
      <x:c r="O73" s="36" t="n">
        <x:v>60</x:v>
      </x:c>
      <x:c r="P73" s="36" t="str">
        <x:v>NORMAL</x:v>
      </x:c>
      <x:c r="Q73" s="36" t="str">
        <x:v>ANY</x:v>
      </x:c>
      <x:c r="R73" s="36" t="str">
        <x:v>DIAG_SET|INSTALL_SET|CABLE_PACK</x:v>
      </x:c>
      <x:c r="S73" s="49" t="n">
        <x:v>46251.291666666664</x:v>
      </x:c>
      <x:c r="T73" s="37" t="b">
        <x:v>0</x:v>
      </x:c>
      <x:c r="U73" s="36" t="str">
        <x:v>PENDING</x:v>
      </x:c>
      <x:c r="V73" s="36"/>
      <x:c r="W73" s="36"/>
      <x:c r="X73" s="36" t="str">
        <x:v>needs_geocoding</x:v>
      </x:c>
    </x:row>
    <x:row r="74" ht="15" hidden="0" customHeight="1">
      <x:c r="A74" s="36" t="str">
        <x:v>STRESS</x:v>
      </x:c>
      <x:c r="B74" s="36" t="str">
        <x:v>SOUTHEAST-23807</x:v>
      </x:c>
      <x:c r="C74" s="36" t="str">
        <x:v>23807</x:v>
      </x:c>
      <x:c r="D74" s="36" t="str">
        <x:v>SOUTHEAST</x:v>
      </x:c>
      <x:c r="E74" s="36" t="str">
        <x:v>Юго-восток</x:v>
      </x:c>
      <x:c r="F74" s="36" t="str">
        <x:v>Подключение</x:v>
      </x:c>
      <x:c r="G74" s="36" t="str">
        <x:v>Конвергенция абонента</x:v>
      </x:c>
      <x:c r="H74" s="49" t="n">
        <x:v>46251.416666666664</x:v>
      </x:c>
      <x:c r="I74" s="49" t="n">
        <x:v>46251.5</x:v>
      </x:c>
      <x:c r="J74" s="36" t="str">
        <x:v>Бирюлево Восточное</x:v>
      </x:c>
      <x:c r="K74" s="36" t="str">
        <x:v>Город Москва, проезд.Загорьевский, д. 9</x:v>
      </x:c>
      <x:c r="L74" s="36" t="str"/>
      <x:c r="M74" s="36" t="str">
        <x:v>Нет</x:v>
      </x:c>
      <x:c r="N74" s="36" t="str">
        <x:v>INSTALL</x:v>
      </x:c>
      <x:c r="O74" s="36" t="n">
        <x:v>60</x:v>
      </x:c>
      <x:c r="P74" s="36" t="str">
        <x:v>NORMAL</x:v>
      </x:c>
      <x:c r="Q74" s="36" t="str">
        <x:v>ANY</x:v>
      </x:c>
      <x:c r="R74" s="36" t="str">
        <x:v>DIAG_SET|INSTALL_SET|CABLE_PACK</x:v>
      </x:c>
      <x:c r="S74" s="49" t="n">
        <x:v>46251.291666666664</x:v>
      </x:c>
      <x:c r="T74" s="37" t="b">
        <x:v>0</x:v>
      </x:c>
      <x:c r="U74" s="36" t="str">
        <x:v>PENDING</x:v>
      </x:c>
      <x:c r="V74" s="36"/>
      <x:c r="W74" s="36"/>
      <x:c r="X74" s="36" t="str">
        <x:v>needs_geocoding</x:v>
      </x:c>
    </x:row>
    <x:row r="75" ht="15" hidden="0" customHeight="1">
      <x:c r="A75" s="36" t="str">
        <x:v>STRESS</x:v>
      </x:c>
      <x:c r="B75" s="36" t="str">
        <x:v>SOUTHEAST-60484</x:v>
      </x:c>
      <x:c r="C75" s="36" t="str">
        <x:v>60484</x:v>
      </x:c>
      <x:c r="D75" s="36" t="str">
        <x:v>SOUTHEAST</x:v>
      </x:c>
      <x:c r="E75" s="36" t="str">
        <x:v>Юго-восток</x:v>
      </x:c>
      <x:c r="F75" s="36" t="str">
        <x:v>Подключение</x:v>
      </x:c>
      <x:c r="G75" s="36" t="str">
        <x:v>Конвергенция абонента</x:v>
      </x:c>
      <x:c r="H75" s="49" t="n">
        <x:v>46251.583333333336</x:v>
      </x:c>
      <x:c r="I75" s="49" t="n">
        <x:v>46251.666666666664</x:v>
      </x:c>
      <x:c r="J75" s="36" t="str">
        <x:v>Бирюлево Восточное</x:v>
      </x:c>
      <x:c r="K75" s="36" t="str">
        <x:v>Город Москва, ул.6-я Радиальная, д. 5 к 3</x:v>
      </x:c>
      <x:c r="L75" s="36" t="str"/>
      <x:c r="M75" s="36" t="str">
        <x:v>Нет</x:v>
      </x:c>
      <x:c r="N75" s="36" t="str">
        <x:v>INSTALL</x:v>
      </x:c>
      <x:c r="O75" s="36" t="n">
        <x:v>60</x:v>
      </x:c>
      <x:c r="P75" s="36" t="str">
        <x:v>NORMAL</x:v>
      </x:c>
      <x:c r="Q75" s="36" t="str">
        <x:v>ANY</x:v>
      </x:c>
      <x:c r="R75" s="36" t="str">
        <x:v>DIAG_SET|INSTALL_SET|CABLE_PACK</x:v>
      </x:c>
      <x:c r="S75" s="49" t="n">
        <x:v>46251.291666666664</x:v>
      </x:c>
      <x:c r="T75" s="37" t="b">
        <x:v>0</x:v>
      </x:c>
      <x:c r="U75" s="36" t="str">
        <x:v>PENDING</x:v>
      </x:c>
      <x:c r="V75" s="36"/>
      <x:c r="W75" s="36"/>
      <x:c r="X75" s="36" t="str">
        <x:v>needs_geocoding</x:v>
      </x:c>
    </x:row>
    <x:row r="76" ht="15" hidden="0" customHeight="1">
      <x:c r="A76" s="36" t="str">
        <x:v>STRESS</x:v>
      </x:c>
      <x:c r="B76" s="36" t="str">
        <x:v>SOUTHEAST-63591</x:v>
      </x:c>
      <x:c r="C76" s="36" t="str">
        <x:v>63591</x:v>
      </x:c>
      <x:c r="D76" s="36" t="str">
        <x:v>SOUTHEAST</x:v>
      </x:c>
      <x:c r="E76" s="36" t="str">
        <x:v>Юго-восток</x:v>
      </x:c>
      <x:c r="F76" s="36" t="str">
        <x:v>Подключение</x:v>
      </x:c>
      <x:c r="G76" s="36" t="str">
        <x:v>Конвергенция абонента</x:v>
      </x:c>
      <x:c r="H76" s="49" t="n">
        <x:v>46251.583333333336</x:v>
      </x:c>
      <x:c r="I76" s="49" t="n">
        <x:v>46251.666666666664</x:v>
      </x:c>
      <x:c r="J76" s="36" t="str">
        <x:v>Бирюлево Восточное</x:v>
      </x:c>
      <x:c r="K76" s="36" t="str">
        <x:v>Город Москва, ул.Бирюлёвская, д. 39</x:v>
      </x:c>
      <x:c r="L76" s="36" t="str"/>
      <x:c r="M76" s="36" t="str">
        <x:v>Нет</x:v>
      </x:c>
      <x:c r="N76" s="36" t="str">
        <x:v>INSTALL</x:v>
      </x:c>
      <x:c r="O76" s="36" t="n">
        <x:v>60</x:v>
      </x:c>
      <x:c r="P76" s="36" t="str">
        <x:v>NORMAL</x:v>
      </x:c>
      <x:c r="Q76" s="36" t="str">
        <x:v>ANY</x:v>
      </x:c>
      <x:c r="R76" s="36" t="str">
        <x:v>DIAG_SET|INSTALL_SET|CABLE_PACK</x:v>
      </x:c>
      <x:c r="S76" s="49" t="n">
        <x:v>46251.291666666664</x:v>
      </x:c>
      <x:c r="T76" s="37" t="b">
        <x:v>0</x:v>
      </x:c>
      <x:c r="U76" s="36" t="str">
        <x:v>PENDING</x:v>
      </x:c>
      <x:c r="V76" s="36"/>
      <x:c r="W76" s="36"/>
      <x:c r="X76" s="36" t="str">
        <x:v>needs_geocoding</x:v>
      </x:c>
    </x:row>
    <x:row r="77" ht="15" hidden="0" customHeight="1">
      <x:c r="A77" s="36" t="str">
        <x:v>STRESS</x:v>
      </x:c>
      <x:c r="B77" s="36" t="str">
        <x:v>SOUTHEAST-53552</x:v>
      </x:c>
      <x:c r="C77" s="36" t="str">
        <x:v>53552</x:v>
      </x:c>
      <x:c r="D77" s="36" t="str">
        <x:v>SOUTHEAST</x:v>
      </x:c>
      <x:c r="E77" s="36" t="str">
        <x:v>Юго-восток</x:v>
      </x:c>
      <x:c r="F77" s="36" t="str">
        <x:v>Подключение</x:v>
      </x:c>
      <x:c r="G77" s="36" t="str">
        <x:v>Заказ подключения/Дозаказ оборудования</x:v>
      </x:c>
      <x:c r="H77" s="49" t="n">
        <x:v>46251.583333333336</x:v>
      </x:c>
      <x:c r="I77" s="49" t="n">
        <x:v>46251.666666666664</x:v>
      </x:c>
      <x:c r="J77" s="36" t="str">
        <x:v>Кашира</x:v>
      </x:c>
      <x:c r="K77" s="36" t="str">
        <x:v>Кашира, ул.Победы, д. 9</x:v>
      </x:c>
      <x:c r="L77" s="36" t="str"/>
      <x:c r="M77" s="36" t="str">
        <x:v>Нет</x:v>
      </x:c>
      <x:c r="N77" s="36" t="str">
        <x:v>INSTALL</x:v>
      </x:c>
      <x:c r="O77" s="36" t="n">
        <x:v>75</x:v>
      </x:c>
      <x:c r="P77" s="36" t="str">
        <x:v>NORMAL</x:v>
      </x:c>
      <x:c r="Q77" s="36" t="str">
        <x:v>CAR</x:v>
      </x:c>
      <x:c r="R77" s="36" t="str">
        <x:v>DIAG_SET|INSTALL_SET|CABLE_PACK</x:v>
      </x:c>
      <x:c r="S77" s="49" t="n">
        <x:v>46251.291666666664</x:v>
      </x:c>
      <x:c r="T77" s="37" t="b">
        <x:v>0</x:v>
      </x:c>
      <x:c r="U77" s="36" t="str">
        <x:v>PENDING</x:v>
      </x:c>
      <x:c r="V77" s="36"/>
      <x:c r="W77" s="36"/>
      <x:c r="X77" s="36" t="str">
        <x:v>needs_geocoding</x:v>
      </x:c>
    </x:row>
    <x:row r="78" ht="15" hidden="0" customHeight="1">
      <x:c r="A78" s="36" t="str">
        <x:v>STRESS</x:v>
      </x:c>
      <x:c r="B78" s="36" t="str">
        <x:v>SOUTHEAST-58066</x:v>
      </x:c>
      <x:c r="C78" s="36" t="str">
        <x:v>58066</x:v>
      </x:c>
      <x:c r="D78" s="36" t="str">
        <x:v>SOUTHEAST</x:v>
      </x:c>
      <x:c r="E78" s="36" t="str">
        <x:v>Юго-восток</x:v>
      </x:c>
      <x:c r="F78" s="36" t="str">
        <x:v>Подключение</x:v>
      </x:c>
      <x:c r="G78" s="36" t="str">
        <x:v>Конвергенция абонента</x:v>
      </x:c>
      <x:c r="H78" s="49" t="n">
        <x:v>46251.5</x:v>
      </x:c>
      <x:c r="I78" s="49" t="n">
        <x:v>46251.583333333336</x:v>
      </x:c>
      <x:c r="J78" s="36" t="str">
        <x:v>Братеево</x:v>
      </x:c>
      <x:c r="K78" s="36" t="str">
        <x:v>Город Москва, ул.Братеевская, д. 18 к 1</x:v>
      </x:c>
      <x:c r="L78" s="36" t="str"/>
      <x:c r="M78" s="36" t="str">
        <x:v>Нет</x:v>
      </x:c>
      <x:c r="N78" s="36" t="str">
        <x:v>INSTALL</x:v>
      </x:c>
      <x:c r="O78" s="36" t="n">
        <x:v>60</x:v>
      </x:c>
      <x:c r="P78" s="36" t="str">
        <x:v>NORMAL</x:v>
      </x:c>
      <x:c r="Q78" s="36" t="str">
        <x:v>ANY</x:v>
      </x:c>
      <x:c r="R78" s="36" t="str">
        <x:v>DIAG_SET|INSTALL_SET|CABLE_PACK</x:v>
      </x:c>
      <x:c r="S78" s="49" t="n">
        <x:v>46251.291666666664</x:v>
      </x:c>
      <x:c r="T78" s="37" t="b">
        <x:v>0</x:v>
      </x:c>
      <x:c r="U78" s="36" t="str">
        <x:v>PENDING</x:v>
      </x:c>
      <x:c r="V78" s="36"/>
      <x:c r="W78" s="36"/>
      <x:c r="X78" s="36" t="str">
        <x:v>needs_geocoding</x:v>
      </x:c>
    </x:row>
    <x:row r="79" ht="15" hidden="0" customHeight="1">
      <x:c r="A79" s="36" t="str">
        <x:v>STRESS</x:v>
      </x:c>
      <x:c r="B79" s="36" t="str">
        <x:v>SOUTHEAST-2915</x:v>
      </x:c>
      <x:c r="C79" s="36" t="str">
        <x:v>2915</x:v>
      </x:c>
      <x:c r="D79" s="36" t="str">
        <x:v>SOUTHEAST</x:v>
      </x:c>
      <x:c r="E79" s="36" t="str">
        <x:v>Юго-восток</x:v>
      </x:c>
      <x:c r="F79" s="36" t="str">
        <x:v>Подключение</x:v>
      </x:c>
      <x:c r="G79" s="36" t="str">
        <x:v>Конвергенция абонента</x:v>
      </x:c>
      <x:c r="H79" s="49" t="n">
        <x:v>46251.5</x:v>
      </x:c>
      <x:c r="I79" s="49" t="n">
        <x:v>46251.583333333336</x:v>
      </x:c>
      <x:c r="J79" s="36" t="str">
        <x:v>Зябликово</x:v>
      </x:c>
      <x:c r="K79" s="36" t="str">
        <x:v>Город Москва, б-р.Ореховый, д. 35 к 1</x:v>
      </x:c>
      <x:c r="L79" s="36" t="str"/>
      <x:c r="M79" s="36" t="str">
        <x:v>Нет</x:v>
      </x:c>
      <x:c r="N79" s="36" t="str">
        <x:v>INSTALL</x:v>
      </x:c>
      <x:c r="O79" s="36" t="n">
        <x:v>60</x:v>
      </x:c>
      <x:c r="P79" s="36" t="str">
        <x:v>NORMAL</x:v>
      </x:c>
      <x:c r="Q79" s="36" t="str">
        <x:v>ANY</x:v>
      </x:c>
      <x:c r="R79" s="36" t="str">
        <x:v>DIAG_SET|INSTALL_SET|CABLE_PACK</x:v>
      </x:c>
      <x:c r="S79" s="49" t="n">
        <x:v>46251.291666666664</x:v>
      </x:c>
      <x:c r="T79" s="37" t="b">
        <x:v>0</x:v>
      </x:c>
      <x:c r="U79" s="36" t="str">
        <x:v>PENDING</x:v>
      </x:c>
      <x:c r="V79" s="36"/>
      <x:c r="W79" s="36"/>
      <x:c r="X79" s="36" t="str">
        <x:v>needs_geocoding</x:v>
      </x:c>
    </x:row>
    <x:row r="80" ht="15" hidden="0" customHeight="1">
      <x:c r="A80" s="36" t="str">
        <x:v>STRESS</x:v>
      </x:c>
      <x:c r="B80" s="36" t="str">
        <x:v>SOUTHEAST-3566</x:v>
      </x:c>
      <x:c r="C80" s="36" t="str">
        <x:v>3566</x:v>
      </x:c>
      <x:c r="D80" s="36" t="str">
        <x:v>SOUTHEAST</x:v>
      </x:c>
      <x:c r="E80" s="36" t="str">
        <x:v>Юго-восток</x:v>
      </x:c>
      <x:c r="F80" s="36" t="str">
        <x:v>Подключение</x:v>
      </x:c>
      <x:c r="G80" s="36" t="str">
        <x:v>Конвергенция абонента</x:v>
      </x:c>
      <x:c r="H80" s="49" t="n">
        <x:v>46251.5</x:v>
      </x:c>
      <x:c r="I80" s="49" t="n">
        <x:v>46251.583333333336</x:v>
      </x:c>
      <x:c r="J80" s="36" t="str">
        <x:v>Зябликово</x:v>
      </x:c>
      <x:c r="K80" s="36" t="str">
        <x:v>Город Москва, б-р.Ореховый, д. 35 к 1</x:v>
      </x:c>
      <x:c r="L80" s="36" t="str"/>
      <x:c r="M80" s="36" t="str">
        <x:v>Нет</x:v>
      </x:c>
      <x:c r="N80" s="36" t="str">
        <x:v>INSTALL</x:v>
      </x:c>
      <x:c r="O80" s="36" t="n">
        <x:v>60</x:v>
      </x:c>
      <x:c r="P80" s="36" t="str">
        <x:v>NORMAL</x:v>
      </x:c>
      <x:c r="Q80" s="36" t="str">
        <x:v>ANY</x:v>
      </x:c>
      <x:c r="R80" s="36" t="str">
        <x:v>DIAG_SET|INSTALL_SET|CABLE_PACK</x:v>
      </x:c>
      <x:c r="S80" s="49" t="n">
        <x:v>46251.291666666664</x:v>
      </x:c>
      <x:c r="T80" s="37" t="b">
        <x:v>0</x:v>
      </x:c>
      <x:c r="U80" s="36" t="str">
        <x:v>PENDING</x:v>
      </x:c>
      <x:c r="V80" s="36"/>
      <x:c r="W80" s="36"/>
      <x:c r="X80" s="36" t="str">
        <x:v>needs_geocoding</x:v>
      </x:c>
    </x:row>
    <x:row r="81" ht="15" hidden="0" customHeight="1">
      <x:c r="A81" s="36" t="str">
        <x:v>STRESS</x:v>
      </x:c>
      <x:c r="B81" s="36" t="str">
        <x:v>SOUTHEAST-68946</x:v>
      </x:c>
      <x:c r="C81" s="36" t="str">
        <x:v>68946</x:v>
      </x:c>
      <x:c r="D81" s="36" t="str">
        <x:v>SOUTHEAST</x:v>
      </x:c>
      <x:c r="E81" s="36" t="str">
        <x:v>Юго-восток</x:v>
      </x:c>
      <x:c r="F81" s="36" t="str">
        <x:v>Подключение</x:v>
      </x:c>
      <x:c r="G81" s="36" t="str">
        <x:v>Конвергенция абонента</x:v>
      </x:c>
      <x:c r="H81" s="49" t="n">
        <x:v>46251.666666666664</x:v>
      </x:c>
      <x:c r="I81" s="49" t="n">
        <x:v>46251.75</x:v>
      </x:c>
      <x:c r="J81" s="36" t="str">
        <x:v>Царицыно</x:v>
      </x:c>
      <x:c r="K81" s="36" t="str">
        <x:v>Город Москва, пр-кт.Пролетарский, д. 14А</x:v>
      </x:c>
      <x:c r="L81" s="36" t="str"/>
      <x:c r="M81" s="36" t="str">
        <x:v>Нет</x:v>
      </x:c>
      <x:c r="N81" s="36" t="str">
        <x:v>INSTALL</x:v>
      </x:c>
      <x:c r="O81" s="36" t="n">
        <x:v>60</x:v>
      </x:c>
      <x:c r="P81" s="36" t="str">
        <x:v>NORMAL</x:v>
      </x:c>
      <x:c r="Q81" s="36" t="str">
        <x:v>ANY</x:v>
      </x:c>
      <x:c r="R81" s="36" t="str">
        <x:v>DIAG_SET|INSTALL_SET|CABLE_PACK</x:v>
      </x:c>
      <x:c r="S81" s="49" t="n">
        <x:v>46251.291666666664</x:v>
      </x:c>
      <x:c r="T81" s="37" t="b">
        <x:v>0</x:v>
      </x:c>
      <x:c r="U81" s="36" t="str">
        <x:v>PENDING</x:v>
      </x:c>
      <x:c r="V81" s="36"/>
      <x:c r="W81" s="36"/>
      <x:c r="X81" s="36" t="str">
        <x:v>needs_geocoding</x:v>
      </x:c>
    </x:row>
    <x:row r="82" ht="15" hidden="0" customHeight="1">
      <x:c r="A82" s="36" t="str">
        <x:v>STRESS</x:v>
      </x:c>
      <x:c r="B82" s="36" t="str">
        <x:v>SOUTHEAST-55454</x:v>
      </x:c>
      <x:c r="C82" s="36" t="str">
        <x:v>55454</x:v>
      </x:c>
      <x:c r="D82" s="36" t="str">
        <x:v>SOUTHEAST</x:v>
      </x:c>
      <x:c r="E82" s="36" t="str">
        <x:v>Юго-восток</x:v>
      </x:c>
      <x:c r="F82" s="36" t="str">
        <x:v>Подключение</x:v>
      </x:c>
      <x:c r="G82" s="36" t="str">
        <x:v>Конвергенция абонента</x:v>
      </x:c>
      <x:c r="H82" s="49" t="n">
        <x:v>46251.5</x:v>
      </x:c>
      <x:c r="I82" s="49" t="n">
        <x:v>46251.583333333336</x:v>
      </x:c>
      <x:c r="J82" s="36" t="str">
        <x:v>Домодедово</x:v>
      </x:c>
      <x:c r="K82" s="36" t="str">
        <x:v>Домодедово, ул.Корнеева, д. 50</x:v>
      </x:c>
      <x:c r="L82" s="36" t="str"/>
      <x:c r="M82" s="36" t="str">
        <x:v>Нет</x:v>
      </x:c>
      <x:c r="N82" s="36" t="str">
        <x:v>INSTALL</x:v>
      </x:c>
      <x:c r="O82" s="36" t="n">
        <x:v>60</x:v>
      </x:c>
      <x:c r="P82" s="36" t="str">
        <x:v>NORMAL</x:v>
      </x:c>
      <x:c r="Q82" s="36" t="str">
        <x:v>CAR</x:v>
      </x:c>
      <x:c r="R82" s="36" t="str">
        <x:v>DIAG_SET|INSTALL_SET|CABLE_PACK</x:v>
      </x:c>
      <x:c r="S82" s="49" t="n">
        <x:v>46251.291666666664</x:v>
      </x:c>
      <x:c r="T82" s="37" t="b">
        <x:v>0</x:v>
      </x:c>
      <x:c r="U82" s="36" t="str">
        <x:v>PENDING</x:v>
      </x:c>
      <x:c r="V82" s="36"/>
      <x:c r="W82" s="36"/>
      <x:c r="X82" s="36" t="str">
        <x:v>needs_geocoding</x:v>
      </x:c>
    </x:row>
    <x:row r="83" ht="15" hidden="0" customHeight="1">
      <x:c r="A83" s="36" t="str">
        <x:v>STRESS</x:v>
      </x:c>
      <x:c r="B83" s="36" t="str">
        <x:v>SOUTHEAST-35057</x:v>
      </x:c>
      <x:c r="C83" s="36" t="str">
        <x:v>35057</x:v>
      </x:c>
      <x:c r="D83" s="36" t="str">
        <x:v>SOUTHEAST</x:v>
      </x:c>
      <x:c r="E83" s="36" t="str">
        <x:v>Юго-восток</x:v>
      </x:c>
      <x:c r="F83" s="36" t="str">
        <x:v>Подключение</x:v>
      </x:c>
      <x:c r="G83" s="36" t="str">
        <x:v>Конвергенция абонента</x:v>
      </x:c>
      <x:c r="H83" s="49" t="n">
        <x:v>46251.583333333336</x:v>
      </x:c>
      <x:c r="I83" s="49" t="n">
        <x:v>46251.666666666664</x:v>
      </x:c>
      <x:c r="J83" s="36" t="str">
        <x:v>Домодедово</x:v>
      </x:c>
      <x:c r="K83" s="36" t="str">
        <x:v>Домодедово, ул.Корнеева, д. 40</x:v>
      </x:c>
      <x:c r="L83" s="36" t="str"/>
      <x:c r="M83" s="36" t="str">
        <x:v>Нет</x:v>
      </x:c>
      <x:c r="N83" s="36" t="str">
        <x:v>INSTALL</x:v>
      </x:c>
      <x:c r="O83" s="36" t="n">
        <x:v>60</x:v>
      </x:c>
      <x:c r="P83" s="36" t="str">
        <x:v>NORMAL</x:v>
      </x:c>
      <x:c r="Q83" s="36" t="str">
        <x:v>CAR</x:v>
      </x:c>
      <x:c r="R83" s="36" t="str">
        <x:v>DIAG_SET|INSTALL_SET|CABLE_PACK</x:v>
      </x:c>
      <x:c r="S83" s="49" t="n">
        <x:v>46251.291666666664</x:v>
      </x:c>
      <x:c r="T83" s="37" t="b">
        <x:v>0</x:v>
      </x:c>
      <x:c r="U83" s="36" t="str">
        <x:v>PENDING</x:v>
      </x:c>
      <x:c r="V83" s="36"/>
      <x:c r="W83" s="36"/>
      <x:c r="X83" s="36" t="str">
        <x:v>needs_geocoding</x:v>
      </x:c>
    </x:row>
    <x:row r="84" ht="15" hidden="0" customHeight="1">
      <x:c r="A84" s="36" t="str">
        <x:v>STRESS</x:v>
      </x:c>
      <x:c r="B84" s="36" t="str">
        <x:v>SOUTHEAST-75745</x:v>
      </x:c>
      <x:c r="C84" s="36" t="str">
        <x:v>75745</x:v>
      </x:c>
      <x:c r="D84" s="36" t="str">
        <x:v>SOUTHEAST</x:v>
      </x:c>
      <x:c r="E84" s="36" t="str">
        <x:v>Юго-восток</x:v>
      </x:c>
      <x:c r="F84" s="36" t="str">
        <x:v>Подключение</x:v>
      </x:c>
      <x:c r="G84" s="36" t="str">
        <x:v>Заказ подключения/Дозаказ оборудования</x:v>
      </x:c>
      <x:c r="H84" s="49" t="n">
        <x:v>46251.416666666664</x:v>
      </x:c>
      <x:c r="I84" s="49" t="n">
        <x:v>46251.5</x:v>
      </x:c>
      <x:c r="J84" s="36" t="str">
        <x:v>Домодедово</x:v>
      </x:c>
      <x:c r="K84" s="36" t="str">
        <x:v>Домодедово, ул.Зеленая, д. 85</x:v>
      </x:c>
      <x:c r="L84" s="36" t="str"/>
      <x:c r="M84" s="36" t="str">
        <x:v>Нет</x:v>
      </x:c>
      <x:c r="N84" s="36" t="str">
        <x:v>INSTALL</x:v>
      </x:c>
      <x:c r="O84" s="36" t="n">
        <x:v>75</x:v>
      </x:c>
      <x:c r="P84" s="36" t="str">
        <x:v>NORMAL</x:v>
      </x:c>
      <x:c r="Q84" s="36" t="str">
        <x:v>CAR</x:v>
      </x:c>
      <x:c r="R84" s="36" t="str">
        <x:v>DIAG_SET|INSTALL_SET|CABLE_PACK</x:v>
      </x:c>
      <x:c r="S84" s="49" t="n">
        <x:v>46251.291666666664</x:v>
      </x:c>
      <x:c r="T84" s="37" t="b">
        <x:v>0</x:v>
      </x:c>
      <x:c r="U84" s="36" t="str">
        <x:v>PENDING</x:v>
      </x:c>
      <x:c r="V84" s="36"/>
      <x:c r="W84" s="36"/>
      <x:c r="X84" s="36" t="str">
        <x:v>needs_geocoding</x:v>
      </x:c>
    </x:row>
    <x:row r="85" ht="15" hidden="0" customHeight="1">
      <x:c r="A85" s="36" t="str">
        <x:v>STRESS</x:v>
      </x:c>
      <x:c r="B85" s="36" t="str">
        <x:v>SOUTHEAST-65717</x:v>
      </x:c>
      <x:c r="C85" s="36" t="str">
        <x:v>65717</x:v>
      </x:c>
      <x:c r="D85" s="36" t="str">
        <x:v>SOUTHEAST</x:v>
      </x:c>
      <x:c r="E85" s="36" t="str">
        <x:v>Юго-восток</x:v>
      </x:c>
      <x:c r="F85" s="36" t="str">
        <x:v>Подключение</x:v>
      </x:c>
      <x:c r="G85" s="36" t="str">
        <x:v>Конвергенция абонента</x:v>
      </x:c>
      <x:c r="H85" s="49" t="n">
        <x:v>46251.416666666664</x:v>
      </x:c>
      <x:c r="I85" s="49" t="n">
        <x:v>46251.5</x:v>
      </x:c>
      <x:c r="J85" s="36" t="str">
        <x:v>Царицыно</x:v>
      </x:c>
      <x:c r="K85" s="36" t="str">
        <x:v>Город Москва, ул.Ереванская, д. 29</x:v>
      </x:c>
      <x:c r="L85" s="36" t="str"/>
      <x:c r="M85" s="36" t="str">
        <x:v>Нет</x:v>
      </x:c>
      <x:c r="N85" s="36" t="str">
        <x:v>INSTALL</x:v>
      </x:c>
      <x:c r="O85" s="36" t="n">
        <x:v>60</x:v>
      </x:c>
      <x:c r="P85" s="36" t="str">
        <x:v>NORMAL</x:v>
      </x:c>
      <x:c r="Q85" s="36" t="str">
        <x:v>ANY</x:v>
      </x:c>
      <x:c r="R85" s="36" t="str">
        <x:v>DIAG_SET|INSTALL_SET|CABLE_PACK</x:v>
      </x:c>
      <x:c r="S85" s="49" t="n">
        <x:v>46251.291666666664</x:v>
      </x:c>
      <x:c r="T85" s="37" t="b">
        <x:v>0</x:v>
      </x:c>
      <x:c r="U85" s="36" t="str">
        <x:v>PENDING</x:v>
      </x:c>
      <x:c r="V85" s="36"/>
      <x:c r="W85" s="36"/>
      <x:c r="X85" s="36" t="str">
        <x:v>needs_geocoding</x:v>
      </x:c>
    </x:row>
    <x:row r="86" ht="15" hidden="0" customHeight="1">
      <x:c r="A86" s="36" t="str">
        <x:v>STRESS</x:v>
      </x:c>
      <x:c r="B86" s="36" t="str">
        <x:v>SOUTHEAST-44117</x:v>
      </x:c>
      <x:c r="C86" s="36" t="str">
        <x:v>44117</x:v>
      </x:c>
      <x:c r="D86" s="36" t="str">
        <x:v>SOUTHEAST</x:v>
      </x:c>
      <x:c r="E86" s="36" t="str">
        <x:v>Юго-восток</x:v>
      </x:c>
      <x:c r="F86" s="36" t="str">
        <x:v>Подключение</x:v>
      </x:c>
      <x:c r="G86" s="36" t="str">
        <x:v>Конвергенция абонента</x:v>
      </x:c>
      <x:c r="H86" s="49" t="n">
        <x:v>46251.416666666664</x:v>
      </x:c>
      <x:c r="I86" s="49" t="n">
        <x:v>46251.5</x:v>
      </x:c>
      <x:c r="J86" s="36" t="str">
        <x:v>Царицыно</x:v>
      </x:c>
      <x:c r="K86" s="36" t="str">
        <x:v>Город Москва, ул.Севанская, д. 15 к 1</x:v>
      </x:c>
      <x:c r="L86" s="36" t="str"/>
      <x:c r="M86" s="36" t="str">
        <x:v>Нет</x:v>
      </x:c>
      <x:c r="N86" s="36" t="str">
        <x:v>INSTALL</x:v>
      </x:c>
      <x:c r="O86" s="36" t="n">
        <x:v>60</x:v>
      </x:c>
      <x:c r="P86" s="36" t="str">
        <x:v>NORMAL</x:v>
      </x:c>
      <x:c r="Q86" s="36" t="str">
        <x:v>ANY</x:v>
      </x:c>
      <x:c r="R86" s="36" t="str">
        <x:v>DIAG_SET|INSTALL_SET|CABLE_PACK</x:v>
      </x:c>
      <x:c r="S86" s="49" t="n">
        <x:v>46251.291666666664</x:v>
      </x:c>
      <x:c r="T86" s="37" t="b">
        <x:v>0</x:v>
      </x:c>
      <x:c r="U86" s="36" t="str">
        <x:v>PENDING</x:v>
      </x:c>
      <x:c r="V86" s="36"/>
      <x:c r="W86" s="36"/>
      <x:c r="X86" s="36" t="str">
        <x:v>needs_geocoding</x:v>
      </x:c>
    </x:row>
    <x:row r="87" ht="15" hidden="0" customHeight="1">
      <x:c r="A87" s="36" t="str">
        <x:v>STRESS</x:v>
      </x:c>
      <x:c r="B87" s="36" t="str">
        <x:v>SOUTHEAST-76173</x:v>
      </x:c>
      <x:c r="C87" s="36" t="str">
        <x:v>76173</x:v>
      </x:c>
      <x:c r="D87" s="36" t="str">
        <x:v>SOUTHEAST</x:v>
      </x:c>
      <x:c r="E87" s="36" t="str">
        <x:v>Юго-восток</x:v>
      </x:c>
      <x:c r="F87" s="36" t="str">
        <x:v>Подключение</x:v>
      </x:c>
      <x:c r="G87" s="36" t="str">
        <x:v>Конвергенция абонента</x:v>
      </x:c>
      <x:c r="H87" s="49" t="n">
        <x:v>46251.666666666664</x:v>
      </x:c>
      <x:c r="I87" s="49" t="n">
        <x:v>46251.75</x:v>
      </x:c>
      <x:c r="J87" s="36" t="str">
        <x:v>Бирюлево Восточное</x:v>
      </x:c>
      <x:c r="K87" s="36" t="str">
        <x:v>Город Москва, ул.6-я Радиальная, д. 7/1 к 2</x:v>
      </x:c>
      <x:c r="L87" s="36" t="str"/>
      <x:c r="M87" s="36" t="str">
        <x:v>Нет</x:v>
      </x:c>
      <x:c r="N87" s="36" t="str">
        <x:v>INSTALL</x:v>
      </x:c>
      <x:c r="O87" s="36" t="n">
        <x:v>60</x:v>
      </x:c>
      <x:c r="P87" s="36" t="str">
        <x:v>NORMAL</x:v>
      </x:c>
      <x:c r="Q87" s="36" t="str">
        <x:v>ANY</x:v>
      </x:c>
      <x:c r="R87" s="36" t="str">
        <x:v>DIAG_SET|INSTALL_SET|CABLE_PACK</x:v>
      </x:c>
      <x:c r="S87" s="49" t="n">
        <x:v>46251.291666666664</x:v>
      </x:c>
      <x:c r="T87" s="37" t="b">
        <x:v>0</x:v>
      </x:c>
      <x:c r="U87" s="36" t="str">
        <x:v>PENDING</x:v>
      </x:c>
      <x:c r="V87" s="36"/>
      <x:c r="W87" s="36"/>
      <x:c r="X87" s="36" t="str">
        <x:v>needs_geocoding</x:v>
      </x:c>
    </x:row>
    <x:row r="88" ht="15" hidden="0" customHeight="1">
      <x:c r="A88" s="36" t="str">
        <x:v>STRESS</x:v>
      </x:c>
      <x:c r="B88" s="36" t="str">
        <x:v>SOUTHEAST-876</x:v>
      </x:c>
      <x:c r="C88" s="36" t="str">
        <x:v>876</x:v>
      </x:c>
      <x:c r="D88" s="36" t="str">
        <x:v>SOUTHEAST</x:v>
      </x:c>
      <x:c r="E88" s="36" t="str">
        <x:v>Юго-восток</x:v>
      </x:c>
      <x:c r="F88" s="36" t="str">
        <x:v>Подключение</x:v>
      </x:c>
      <x:c r="G88" s="36" t="str">
        <x:v>Заказ подключения/Дозаказ оборудования</x:v>
      </x:c>
      <x:c r="H88" s="49" t="n">
        <x:v>46251.416666666664</x:v>
      </x:c>
      <x:c r="I88" s="49" t="n">
        <x:v>46251.5</x:v>
      </x:c>
      <x:c r="J88" s="36" t="str">
        <x:v>Бирюлево Восточное</x:v>
      </x:c>
      <x:c r="K88" s="36" t="str">
        <x:v>Город Москва, проезд.Загорьевский, д. 9</x:v>
      </x:c>
      <x:c r="L88" s="36" t="str"/>
      <x:c r="M88" s="36" t="str">
        <x:v>Нет</x:v>
      </x:c>
      <x:c r="N88" s="36" t="str">
        <x:v>INSTALL</x:v>
      </x:c>
      <x:c r="O88" s="36" t="n">
        <x:v>75</x:v>
      </x:c>
      <x:c r="P88" s="36" t="str">
        <x:v>NORMAL</x:v>
      </x:c>
      <x:c r="Q88" s="36" t="str">
        <x:v>ANY</x:v>
      </x:c>
      <x:c r="R88" s="36" t="str">
        <x:v>DIAG_SET|INSTALL_SET|CABLE_PACK</x:v>
      </x:c>
      <x:c r="S88" s="49" t="n">
        <x:v>46251.291666666664</x:v>
      </x:c>
      <x:c r="T88" s="37" t="b">
        <x:v>0</x:v>
      </x:c>
      <x:c r="U88" s="36" t="str">
        <x:v>PENDING</x:v>
      </x:c>
      <x:c r="V88" s="36"/>
      <x:c r="W88" s="36"/>
      <x:c r="X88" s="36" t="str">
        <x:v>needs_geocoding</x:v>
      </x:c>
    </x:row>
    <x:row r="89" ht="15" hidden="0" customHeight="1">
      <x:c r="A89" s="36" t="str">
        <x:v>STRESS</x:v>
      </x:c>
      <x:c r="B89" s="36" t="str">
        <x:v>SOUTHEAST-62011</x:v>
      </x:c>
      <x:c r="C89" s="36" t="str">
        <x:v>62011</x:v>
      </x:c>
      <x:c r="D89" s="36" t="str">
        <x:v>SOUTHEAST</x:v>
      </x:c>
      <x:c r="E89" s="36" t="str">
        <x:v>Юго-восток</x:v>
      </x:c>
      <x:c r="F89" s="36" t="str">
        <x:v>Подключение</x:v>
      </x:c>
      <x:c r="G89" s="36" t="str">
        <x:v>Конвергенция абонента</x:v>
      </x:c>
      <x:c r="H89" s="49" t="n">
        <x:v>46251.416666666664</x:v>
      </x:c>
      <x:c r="I89" s="49" t="n">
        <x:v>46251.5</x:v>
      </x:c>
      <x:c r="J89" s="36" t="str">
        <x:v>Кашира</x:v>
      </x:c>
      <x:c r="K89" s="36" t="str">
        <x:v>Кашира, ул.Садовая, д. 18</x:v>
      </x:c>
      <x:c r="L89" s="36" t="str"/>
      <x:c r="M89" s="36" t="str">
        <x:v>Нет</x:v>
      </x:c>
      <x:c r="N89" s="36" t="str">
        <x:v>INSTALL</x:v>
      </x:c>
      <x:c r="O89" s="36" t="n">
        <x:v>60</x:v>
      </x:c>
      <x:c r="P89" s="36" t="str">
        <x:v>NORMAL</x:v>
      </x:c>
      <x:c r="Q89" s="36" t="str">
        <x:v>CAR</x:v>
      </x:c>
      <x:c r="R89" s="36" t="str">
        <x:v>DIAG_SET|INSTALL_SET|CABLE_PACK</x:v>
      </x:c>
      <x:c r="S89" s="49" t="n">
        <x:v>46251.291666666664</x:v>
      </x:c>
      <x:c r="T89" s="37" t="b">
        <x:v>0</x:v>
      </x:c>
      <x:c r="U89" s="36" t="str">
        <x:v>PENDING</x:v>
      </x:c>
      <x:c r="V89" s="36"/>
      <x:c r="W89" s="36"/>
      <x:c r="X89" s="36" t="str">
        <x:v>needs_geocoding</x:v>
      </x:c>
    </x:row>
    <x:row r="90" ht="15" hidden="0" customHeight="1">
      <x:c r="A90" s="36" t="str">
        <x:v>STRESS</x:v>
      </x:c>
      <x:c r="B90" s="36" t="str">
        <x:v>SOUTHEAST-57353</x:v>
      </x:c>
      <x:c r="C90" s="36" t="str">
        <x:v>57353</x:v>
      </x:c>
      <x:c r="D90" s="36" t="str">
        <x:v>SOUTHEAST</x:v>
      </x:c>
      <x:c r="E90" s="36" t="str">
        <x:v>Юго-восток</x:v>
      </x:c>
      <x:c r="F90" s="36" t="str">
        <x:v>Подключение</x:v>
      </x:c>
      <x:c r="G90" s="36" t="str">
        <x:v>Заказ подключения/Дозаказ оборудования</x:v>
      </x:c>
      <x:c r="H90" s="49" t="n">
        <x:v>46251.5</x:v>
      </x:c>
      <x:c r="I90" s="49" t="n">
        <x:v>46251.583333333336</x:v>
      </x:c>
      <x:c r="J90" s="36" t="str">
        <x:v>Кашира</x:v>
      </x:c>
      <x:c r="K90" s="36" t="str">
        <x:v>Кашира, ул.Садовая, д. 2/11</x:v>
      </x:c>
      <x:c r="L90" s="36" t="str"/>
      <x:c r="M90" s="36" t="str">
        <x:v>Нет</x:v>
      </x:c>
      <x:c r="N90" s="36" t="str">
        <x:v>INSTALL</x:v>
      </x:c>
      <x:c r="O90" s="36" t="n">
        <x:v>75</x:v>
      </x:c>
      <x:c r="P90" s="36" t="str">
        <x:v>NORMAL</x:v>
      </x:c>
      <x:c r="Q90" s="36" t="str">
        <x:v>CAR</x:v>
      </x:c>
      <x:c r="R90" s="36" t="str">
        <x:v>DIAG_SET|INSTALL_SET|CABLE_PACK</x:v>
      </x:c>
      <x:c r="S90" s="49" t="n">
        <x:v>46251.291666666664</x:v>
      </x:c>
      <x:c r="T90" s="37" t="b">
        <x:v>0</x:v>
      </x:c>
      <x:c r="U90" s="36" t="str">
        <x:v>PENDING</x:v>
      </x:c>
      <x:c r="V90" s="36"/>
      <x:c r="W90" s="36"/>
      <x:c r="X90" s="36" t="str">
        <x:v>needs_geocoding</x:v>
      </x:c>
    </x:row>
    <x:row r="91" ht="15" hidden="0" customHeight="1">
      <x:c r="A91" s="36" t="str">
        <x:v>STRESS</x:v>
      </x:c>
      <x:c r="B91" s="36" t="str">
        <x:v>SOUTHEAST-2245</x:v>
      </x:c>
      <x:c r="C91" s="36" t="str">
        <x:v>2245</x:v>
      </x:c>
      <x:c r="D91" s="36" t="str">
        <x:v>SOUTHEAST</x:v>
      </x:c>
      <x:c r="E91" s="36" t="str">
        <x:v>Юго-восток</x:v>
      </x:c>
      <x:c r="F91" s="36" t="str">
        <x:v>Подключение</x:v>
      </x:c>
      <x:c r="G91" s="36" t="str">
        <x:v>Заявка на подключение</x:v>
      </x:c>
      <x:c r="H91" s="49" t="n">
        <x:v>46251.583333333336</x:v>
      </x:c>
      <x:c r="I91" s="49" t="n">
        <x:v>46251.666666666664</x:v>
      </x:c>
      <x:c r="J91" s="36" t="str">
        <x:v>Братеево</x:v>
      </x:c>
      <x:c r="K91" s="36" t="str">
        <x:v>Город Москва, ул.Паромная, д. 9 к 1</x:v>
      </x:c>
      <x:c r="L91" s="36" t="str"/>
      <x:c r="M91" s="36" t="str">
        <x:v>Нет</x:v>
      </x:c>
      <x:c r="N91" s="36" t="str">
        <x:v>INSTALL</x:v>
      </x:c>
      <x:c r="O91" s="36" t="n">
        <x:v>90</x:v>
      </x:c>
      <x:c r="P91" s="36" t="str">
        <x:v>NORMAL</x:v>
      </x:c>
      <x:c r="Q91" s="36" t="str">
        <x:v>ANY</x:v>
      </x:c>
      <x:c r="R91" s="36" t="str">
        <x:v>DIAG_SET|INSTALL_SET|CABLE_PACK</x:v>
      </x:c>
      <x:c r="S91" s="49" t="n">
        <x:v>46251.291666666664</x:v>
      </x:c>
      <x:c r="T91" s="37" t="b">
        <x:v>0</x:v>
      </x:c>
      <x:c r="U91" s="36" t="str">
        <x:v>PENDING</x:v>
      </x:c>
      <x:c r="V91" s="36"/>
      <x:c r="W91" s="36"/>
      <x:c r="X91" s="36" t="str">
        <x:v>needs_geocoding</x:v>
      </x:c>
    </x:row>
    <x:row r="92" ht="15" hidden="0" customHeight="1">
      <x:c r="A92" s="36" t="str">
        <x:v>STRESS</x:v>
      </x:c>
      <x:c r="B92" s="36" t="str">
        <x:v>SOUTHEAST-14494</x:v>
      </x:c>
      <x:c r="C92" s="36" t="str">
        <x:v>14494</x:v>
      </x:c>
      <x:c r="D92" s="36" t="str">
        <x:v>SOUTHEAST</x:v>
      </x:c>
      <x:c r="E92" s="36" t="str">
        <x:v>Юго-восток</x:v>
      </x:c>
      <x:c r="F92" s="36" t="str">
        <x:v>Подключение</x:v>
      </x:c>
      <x:c r="G92" s="36" t="str">
        <x:v>Конвергенция абонента</x:v>
      </x:c>
      <x:c r="H92" s="49" t="n">
        <x:v>46251.416666666664</x:v>
      </x:c>
      <x:c r="I92" s="49" t="n">
        <x:v>46251.5</x:v>
      </x:c>
      <x:c r="J92" s="36" t="str">
        <x:v>Братеево</x:v>
      </x:c>
      <x:c r="K92" s="36" t="str">
        <x:v>Город Москва, ул.Братеевская, д. 16 к 1</x:v>
      </x:c>
      <x:c r="L92" s="36" t="str"/>
      <x:c r="M92" s="36" t="str">
        <x:v>Нет</x:v>
      </x:c>
      <x:c r="N92" s="36" t="str">
        <x:v>INSTALL</x:v>
      </x:c>
      <x:c r="O92" s="36" t="n">
        <x:v>60</x:v>
      </x:c>
      <x:c r="P92" s="36" t="str">
        <x:v>NORMAL</x:v>
      </x:c>
      <x:c r="Q92" s="36" t="str">
        <x:v>ANY</x:v>
      </x:c>
      <x:c r="R92" s="36" t="str">
        <x:v>DIAG_SET|INSTALL_SET|CABLE_PACK</x:v>
      </x:c>
      <x:c r="S92" s="49" t="n">
        <x:v>46251.291666666664</x:v>
      </x:c>
      <x:c r="T92" s="37" t="b">
        <x:v>0</x:v>
      </x:c>
      <x:c r="U92" s="36" t="str">
        <x:v>PENDING</x:v>
      </x:c>
      <x:c r="V92" s="36"/>
      <x:c r="W92" s="36"/>
      <x:c r="X92" s="36" t="str">
        <x:v>needs_geocoding</x:v>
      </x:c>
    </x:row>
    <x:row r="93" ht="15" hidden="0" customHeight="1">
      <x:c r="A93" s="36" t="str">
        <x:v>STRESS</x:v>
      </x:c>
      <x:c r="B93" s="36" t="str">
        <x:v>SOUTHEAST-78920</x:v>
      </x:c>
      <x:c r="C93" s="36" t="str">
        <x:v>78920</x:v>
      </x:c>
      <x:c r="D93" s="36" t="str">
        <x:v>SOUTHEAST</x:v>
      </x:c>
      <x:c r="E93" s="36" t="str">
        <x:v>Юго-восток</x:v>
      </x:c>
      <x:c r="F93" s="36" t="str">
        <x:v>Подключение</x:v>
      </x:c>
      <x:c r="G93" s="36" t="str">
        <x:v>Заявка на подключение</x:v>
      </x:c>
      <x:c r="H93" s="49" t="n">
        <x:v>46251.5</x:v>
      </x:c>
      <x:c r="I93" s="49" t="n">
        <x:v>46251.583333333336</x:v>
      </x:c>
      <x:c r="J93" s="36" t="str">
        <x:v>Братеево</x:v>
      </x:c>
      <x:c r="K93" s="36" t="str">
        <x:v>Город Москва, ул.Борисовские Пруды, д. 20 к 1</x:v>
      </x:c>
      <x:c r="L93" s="36" t="str"/>
      <x:c r="M93" s="36" t="str">
        <x:v>Нет</x:v>
      </x:c>
      <x:c r="N93" s="36" t="str">
        <x:v>INSTALL</x:v>
      </x:c>
      <x:c r="O93" s="36" t="n">
        <x:v>90</x:v>
      </x:c>
      <x:c r="P93" s="36" t="str">
        <x:v>NORMAL</x:v>
      </x:c>
      <x:c r="Q93" s="36" t="str">
        <x:v>ANY</x:v>
      </x:c>
      <x:c r="R93" s="36" t="str">
        <x:v>DIAG_SET|INSTALL_SET|CABLE_PACK</x:v>
      </x:c>
      <x:c r="S93" s="49" t="n">
        <x:v>46251.291666666664</x:v>
      </x:c>
      <x:c r="T93" s="37" t="b">
        <x:v>0</x:v>
      </x:c>
      <x:c r="U93" s="36" t="str">
        <x:v>PENDING</x:v>
      </x:c>
      <x:c r="V93" s="36"/>
      <x:c r="W93" s="36"/>
      <x:c r="X93" s="36" t="str">
        <x:v>needs_geocoding</x:v>
      </x:c>
    </x:row>
    <x:row r="94" ht="15" hidden="0" customHeight="1">
      <x:c r="A94" s="36" t="str">
        <x:v>STRESS</x:v>
      </x:c>
      <x:c r="B94" s="36" t="str">
        <x:v>SOUTHEAST-78876</x:v>
      </x:c>
      <x:c r="C94" s="36" t="str">
        <x:v>78876</x:v>
      </x:c>
      <x:c r="D94" s="36" t="str">
        <x:v>SOUTHEAST</x:v>
      </x:c>
      <x:c r="E94" s="36" t="str">
        <x:v>Юго-восток</x:v>
      </x:c>
      <x:c r="F94" s="36" t="str">
        <x:v>Подключение</x:v>
      </x:c>
      <x:c r="G94" s="36" t="str">
        <x:v>Конвергенция абонента</x:v>
      </x:c>
      <x:c r="H94" s="49" t="n">
        <x:v>46251.416666666664</x:v>
      </x:c>
      <x:c r="I94" s="49" t="n">
        <x:v>46251.5</x:v>
      </x:c>
      <x:c r="J94" s="36" t="str">
        <x:v>Кашира</x:v>
      </x:c>
      <x:c r="K94" s="36" t="str">
        <x:v>Кашира, ул.Юбилейная, д. 9</x:v>
      </x:c>
      <x:c r="L94" s="36" t="str"/>
      <x:c r="M94" s="36" t="str">
        <x:v>Нет</x:v>
      </x:c>
      <x:c r="N94" s="36" t="str">
        <x:v>INSTALL</x:v>
      </x:c>
      <x:c r="O94" s="36" t="n">
        <x:v>60</x:v>
      </x:c>
      <x:c r="P94" s="36" t="str">
        <x:v>NORMAL</x:v>
      </x:c>
      <x:c r="Q94" s="36" t="str">
        <x:v>CAR</x:v>
      </x:c>
      <x:c r="R94" s="36" t="str">
        <x:v>DIAG_SET|INSTALL_SET|CABLE_PACK</x:v>
      </x:c>
      <x:c r="S94" s="49" t="n">
        <x:v>46251.291666666664</x:v>
      </x:c>
      <x:c r="T94" s="37" t="b">
        <x:v>0</x:v>
      </x:c>
      <x:c r="U94" s="36" t="str">
        <x:v>PENDING</x:v>
      </x:c>
      <x:c r="V94" s="36"/>
      <x:c r="W94" s="36"/>
      <x:c r="X94" s="36" t="str">
        <x:v>needs_geocoding</x:v>
      </x:c>
    </x:row>
    <x:row r="95" ht="15" hidden="0" customHeight="1">
      <x:c r="A95" s="36" t="str">
        <x:v>STRESS</x:v>
      </x:c>
      <x:c r="B95" s="36" t="str">
        <x:v>SOUTHEAST-23094</x:v>
      </x:c>
      <x:c r="C95" s="36" t="str">
        <x:v>23094</x:v>
      </x:c>
      <x:c r="D95" s="36" t="str">
        <x:v>SOUTHEAST</x:v>
      </x:c>
      <x:c r="E95" s="36" t="str">
        <x:v>Юго-восток</x:v>
      </x:c>
      <x:c r="F95" s="36" t="str">
        <x:v>Подключение</x:v>
      </x:c>
      <x:c r="G95" s="36" t="str">
        <x:v>Конвергенция абонента</x:v>
      </x:c>
      <x:c r="H95" s="49" t="n">
        <x:v>46251.5</x:v>
      </x:c>
      <x:c r="I95" s="49" t="n">
        <x:v>46251.583333333336</x:v>
      </x:c>
      <x:c r="J95" s="36" t="str">
        <x:v>Кашира</x:v>
      </x:c>
      <x:c r="K95" s="36" t="str">
        <x:v>Кашира, ул.8 Марта, д. 22</x:v>
      </x:c>
      <x:c r="L95" s="36" t="str"/>
      <x:c r="M95" s="36" t="str">
        <x:v>Нет</x:v>
      </x:c>
      <x:c r="N95" s="36" t="str">
        <x:v>INSTALL</x:v>
      </x:c>
      <x:c r="O95" s="36" t="n">
        <x:v>60</x:v>
      </x:c>
      <x:c r="P95" s="36" t="str">
        <x:v>NORMAL</x:v>
      </x:c>
      <x:c r="Q95" s="36" t="str">
        <x:v>CAR</x:v>
      </x:c>
      <x:c r="R95" s="36" t="str">
        <x:v>DIAG_SET|INSTALL_SET|CABLE_PACK</x:v>
      </x:c>
      <x:c r="S95" s="49" t="n">
        <x:v>46251.291666666664</x:v>
      </x:c>
      <x:c r="T95" s="37" t="b">
        <x:v>0</x:v>
      </x:c>
      <x:c r="U95" s="36" t="str">
        <x:v>PENDING</x:v>
      </x:c>
      <x:c r="V95" s="36"/>
      <x:c r="W95" s="36"/>
      <x:c r="X95" s="36" t="str">
        <x:v>needs_geocoding</x:v>
      </x:c>
    </x:row>
    <x:row r="96" ht="15" hidden="0" customHeight="1">
      <x:c r="A96" s="36" t="str">
        <x:v>STRESS</x:v>
      </x:c>
      <x:c r="B96" s="36" t="str">
        <x:v>SOUTHEAST-79144</x:v>
      </x:c>
      <x:c r="C96" s="36" t="str">
        <x:v>79144</x:v>
      </x:c>
      <x:c r="D96" s="36" t="str">
        <x:v>SOUTHEAST</x:v>
      </x:c>
      <x:c r="E96" s="36" t="str">
        <x:v>Юго-восток</x:v>
      </x:c>
      <x:c r="F96" s="36" t="str">
        <x:v>Подключение</x:v>
      </x:c>
      <x:c r="G96" s="36" t="str">
        <x:v>Заявка на подключение</x:v>
      </x:c>
      <x:c r="H96" s="49" t="n">
        <x:v>46251.416666666664</x:v>
      </x:c>
      <x:c r="I96" s="49" t="n">
        <x:v>46251.5</x:v>
      </x:c>
      <x:c r="J96" s="36" t="str">
        <x:v>Орехово Борисово Северное</x:v>
      </x:c>
      <x:c r="K96" s="36" t="str">
        <x:v>Город Москва, б-р.Ореховый, д. 7 к 1</x:v>
      </x:c>
      <x:c r="L96" s="36" t="str"/>
      <x:c r="M96" s="36" t="str">
        <x:v>Нет</x:v>
      </x:c>
      <x:c r="N96" s="36" t="str">
        <x:v>INSTALL</x:v>
      </x:c>
      <x:c r="O96" s="36" t="n">
        <x:v>90</x:v>
      </x:c>
      <x:c r="P96" s="36" t="str">
        <x:v>NORMAL</x:v>
      </x:c>
      <x:c r="Q96" s="36" t="str">
        <x:v>ANY</x:v>
      </x:c>
      <x:c r="R96" s="36" t="str">
        <x:v>DIAG_SET|INSTALL_SET|CABLE_PACK</x:v>
      </x:c>
      <x:c r="S96" s="49" t="n">
        <x:v>46251.291666666664</x:v>
      </x:c>
      <x:c r="T96" s="37" t="b">
        <x:v>0</x:v>
      </x:c>
      <x:c r="U96" s="36" t="str">
        <x:v>PENDING</x:v>
      </x:c>
      <x:c r="V96" s="36"/>
      <x:c r="W96" s="36"/>
      <x:c r="X96" s="36" t="str">
        <x:v>needs_geocoding</x:v>
      </x:c>
    </x:row>
    <x:row r="97" ht="15" hidden="0" customHeight="1">
      <x:c r="A97" s="36" t="str">
        <x:v>STRESS</x:v>
      </x:c>
      <x:c r="B97" s="36" t="str">
        <x:v>SOUTHEAST-60141</x:v>
      </x:c>
      <x:c r="C97" s="36" t="str">
        <x:v>60141</x:v>
      </x:c>
      <x:c r="D97" s="36" t="str">
        <x:v>SOUTHEAST</x:v>
      </x:c>
      <x:c r="E97" s="36" t="str">
        <x:v>Юго-восток</x:v>
      </x:c>
      <x:c r="F97" s="36" t="str">
        <x:v>Подключение</x:v>
      </x:c>
      <x:c r="G97" s="36" t="str">
        <x:v>Конвергенция абонента</x:v>
      </x:c>
      <x:c r="H97" s="49" t="n">
        <x:v>46251.5</x:v>
      </x:c>
      <x:c r="I97" s="49" t="n">
        <x:v>46251.583333333336</x:v>
      </x:c>
      <x:c r="J97" s="36" t="str">
        <x:v>Орехово Борисово Северное</x:v>
      </x:c>
      <x:c r="K97" s="36" t="str">
        <x:v>Город Москва, ш.Каширское, д. 94 к 1</x:v>
      </x:c>
      <x:c r="L97" s="36" t="str"/>
      <x:c r="M97" s="36" t="str">
        <x:v>Нет</x:v>
      </x:c>
      <x:c r="N97" s="36" t="str">
        <x:v>INSTALL</x:v>
      </x:c>
      <x:c r="O97" s="36" t="n">
        <x:v>60</x:v>
      </x:c>
      <x:c r="P97" s="36" t="str">
        <x:v>NORMAL</x:v>
      </x:c>
      <x:c r="Q97" s="36" t="str">
        <x:v>CAR</x:v>
      </x:c>
      <x:c r="R97" s="36" t="str">
        <x:v>DIAG_SET|INSTALL_SET|CABLE_PACK</x:v>
      </x:c>
      <x:c r="S97" s="49" t="n">
        <x:v>46251.291666666664</x:v>
      </x:c>
      <x:c r="T97" s="37" t="b">
        <x:v>0</x:v>
      </x:c>
      <x:c r="U97" s="36" t="str">
        <x:v>PENDING</x:v>
      </x:c>
      <x:c r="V97" s="36"/>
      <x:c r="W97" s="36"/>
      <x:c r="X97" s="36" t="str">
        <x:v>needs_geocoding</x:v>
      </x:c>
    </x:row>
    <x:row r="98" ht="15" hidden="0" customHeight="1">
      <x:c r="A98" s="36" t="str">
        <x:v>STRESS</x:v>
      </x:c>
      <x:c r="B98" s="36" t="str">
        <x:v>SOUTHEAST-79450</x:v>
      </x:c>
      <x:c r="C98" s="36" t="str">
        <x:v>79450</x:v>
      </x:c>
      <x:c r="D98" s="36" t="str">
        <x:v>SOUTHEAST</x:v>
      </x:c>
      <x:c r="E98" s="36" t="str">
        <x:v>Юго-восток</x:v>
      </x:c>
      <x:c r="F98" s="36" t="str">
        <x:v>Подключение</x:v>
      </x:c>
      <x:c r="G98" s="36" t="str">
        <x:v>Заказ подключения/Дозаказ оборудования</x:v>
      </x:c>
      <x:c r="H98" s="49" t="n">
        <x:v>46251.5</x:v>
      </x:c>
      <x:c r="I98" s="49" t="n">
        <x:v>46251.583333333336</x:v>
      </x:c>
      <x:c r="J98" s="36" t="str">
        <x:v>Орехово Борисово Северное</x:v>
      </x:c>
      <x:c r="K98" s="36" t="str">
        <x:v>Город Москва, б-р.Ореховый, д. 11 к 1</x:v>
      </x:c>
      <x:c r="L98" s="36" t="str"/>
      <x:c r="M98" s="36" t="str">
        <x:v>Нет</x:v>
      </x:c>
      <x:c r="N98" s="36" t="str">
        <x:v>INSTALL</x:v>
      </x:c>
      <x:c r="O98" s="36" t="n">
        <x:v>75</x:v>
      </x:c>
      <x:c r="P98" s="36" t="str">
        <x:v>NORMAL</x:v>
      </x:c>
      <x:c r="Q98" s="36" t="str">
        <x:v>ANY</x:v>
      </x:c>
      <x:c r="R98" s="36" t="str">
        <x:v>DIAG_SET|INSTALL_SET|CABLE_PACK</x:v>
      </x:c>
      <x:c r="S98" s="49" t="n">
        <x:v>46251.291666666664</x:v>
      </x:c>
      <x:c r="T98" s="37" t="b">
        <x:v>0</x:v>
      </x:c>
      <x:c r="U98" s="36" t="str">
        <x:v>PENDING</x:v>
      </x:c>
      <x:c r="V98" s="36"/>
      <x:c r="W98" s="36"/>
      <x:c r="X98" s="36" t="str">
        <x:v>needs_geocoding</x:v>
      </x:c>
    </x:row>
    <x:row r="99" ht="15" hidden="0" customHeight="1">
      <x:c r="A99" s="36" t="str">
        <x:v>STRESS</x:v>
      </x:c>
      <x:c r="B99" s="36" t="str">
        <x:v>SOUTHEAST-58129</x:v>
      </x:c>
      <x:c r="C99" s="36" t="str">
        <x:v>58129</x:v>
      </x:c>
      <x:c r="D99" s="36" t="str">
        <x:v>SOUTHEAST</x:v>
      </x:c>
      <x:c r="E99" s="36" t="str">
        <x:v>Юго-восток</x:v>
      </x:c>
      <x:c r="F99" s="36" t="str">
        <x:v>Подключение</x:v>
      </x:c>
      <x:c r="G99" s="36" t="str">
        <x:v>Заявка на подключение</x:v>
      </x:c>
      <x:c r="H99" s="49" t="n">
        <x:v>46251.416666666664</x:v>
      </x:c>
      <x:c r="I99" s="49" t="n">
        <x:v>46251.5</x:v>
      </x:c>
      <x:c r="J99" s="36" t="str">
        <x:v>Орехово Борисово Северное</x:v>
      </x:c>
      <x:c r="K99" s="36" t="str">
        <x:v>Город Москва, проезд.Борисовский, д. 44 к 3</x:v>
      </x:c>
      <x:c r="L99" s="36" t="str"/>
      <x:c r="M99" s="36" t="str">
        <x:v>Нет</x:v>
      </x:c>
      <x:c r="N99" s="36" t="str">
        <x:v>INSTALL</x:v>
      </x:c>
      <x:c r="O99" s="36" t="n">
        <x:v>90</x:v>
      </x:c>
      <x:c r="P99" s="36" t="str">
        <x:v>NORMAL</x:v>
      </x:c>
      <x:c r="Q99" s="36" t="str">
        <x:v>ANY</x:v>
      </x:c>
      <x:c r="R99" s="36" t="str">
        <x:v>DIAG_SET|INSTALL_SET|CABLE_PACK</x:v>
      </x:c>
      <x:c r="S99" s="49" t="n">
        <x:v>46251.291666666664</x:v>
      </x:c>
      <x:c r="T99" s="37" t="b">
        <x:v>0</x:v>
      </x:c>
      <x:c r="U99" s="36" t="str">
        <x:v>PENDING</x:v>
      </x:c>
      <x:c r="V99" s="36"/>
      <x:c r="W99" s="36"/>
      <x:c r="X99" s="36" t="str">
        <x:v>needs_geocoding</x:v>
      </x:c>
    </x:row>
    <x:row r="100" ht="15" hidden="0" customHeight="1">
      <x:c r="A100" s="36" t="str">
        <x:v>STRESS</x:v>
      </x:c>
      <x:c r="B100" s="36" t="str">
        <x:v>SOUTHEAST-93798</x:v>
      </x:c>
      <x:c r="C100" s="36" t="str">
        <x:v>93798</x:v>
      </x:c>
      <x:c r="D100" s="36" t="str">
        <x:v>SOUTHEAST</x:v>
      </x:c>
      <x:c r="E100" s="36" t="str">
        <x:v>Юго-восток</x:v>
      </x:c>
      <x:c r="F100" s="36" t="str">
        <x:v>Подключение</x:v>
      </x:c>
      <x:c r="G100" s="36" t="str">
        <x:v>Конвергенция абонента</x:v>
      </x:c>
      <x:c r="H100" s="49" t="n">
        <x:v>46251.416666666664</x:v>
      </x:c>
      <x:c r="I100" s="49" t="n">
        <x:v>46251.5</x:v>
      </x:c>
      <x:c r="J100" s="36" t="str">
        <x:v>Зябликово</x:v>
      </x:c>
      <x:c r="K100" s="36" t="str">
        <x:v>Город Москва, проезд.Ореховый, д. 41</x:v>
      </x:c>
      <x:c r="L100" s="36" t="str"/>
      <x:c r="M100" s="36" t="str">
        <x:v>Нет</x:v>
      </x:c>
      <x:c r="N100" s="36" t="str">
        <x:v>INSTALL</x:v>
      </x:c>
      <x:c r="O100" s="36" t="n">
        <x:v>60</x:v>
      </x:c>
      <x:c r="P100" s="36" t="str">
        <x:v>NORMAL</x:v>
      </x:c>
      <x:c r="Q100" s="36" t="str">
        <x:v>ANY</x:v>
      </x:c>
      <x:c r="R100" s="36" t="str">
        <x:v>DIAG_SET|INSTALL_SET|CABLE_PACK</x:v>
      </x:c>
      <x:c r="S100" s="49" t="n">
        <x:v>46251.291666666664</x:v>
      </x:c>
      <x:c r="T100" s="37" t="b">
        <x:v>0</x:v>
      </x:c>
      <x:c r="U100" s="36" t="str">
        <x:v>PENDING</x:v>
      </x:c>
      <x:c r="V100" s="36"/>
      <x:c r="W100" s="36"/>
      <x:c r="X100" s="36" t="str">
        <x:v>needs_geocoding</x:v>
      </x:c>
    </x:row>
    <x:row r="101" ht="15" hidden="0" customHeight="1">
      <x:c r="A101" s="36" t="str">
        <x:v>STRESS</x:v>
      </x:c>
      <x:c r="B101" s="36" t="str">
        <x:v>SOUTHEAST-89696</x:v>
      </x:c>
      <x:c r="C101" s="36" t="str">
        <x:v>89696</x:v>
      </x:c>
      <x:c r="D101" s="36" t="str">
        <x:v>SOUTHEAST</x:v>
      </x:c>
      <x:c r="E101" s="36" t="str">
        <x:v>Юго-восток</x:v>
      </x:c>
      <x:c r="F101" s="36" t="str">
        <x:v>Подключение</x:v>
      </x:c>
      <x:c r="G101" s="36" t="str">
        <x:v>Конвергенция абонента</x:v>
      </x:c>
      <x:c r="H101" s="49" t="n">
        <x:v>46251.583333333336</x:v>
      </x:c>
      <x:c r="I101" s="49" t="n">
        <x:v>46251.666666666664</x:v>
      </x:c>
      <x:c r="J101" s="36" t="str">
        <x:v>Домодедово</x:v>
      </x:c>
      <x:c r="K101" s="36" t="str">
        <x:v>Домодедово, ул.Ильюшина, д. 20</x:v>
      </x:c>
      <x:c r="L101" s="36" t="str"/>
      <x:c r="M101" s="36" t="str">
        <x:v>Нет</x:v>
      </x:c>
      <x:c r="N101" s="36" t="str">
        <x:v>INSTALL</x:v>
      </x:c>
      <x:c r="O101" s="36" t="n">
        <x:v>60</x:v>
      </x:c>
      <x:c r="P101" s="36" t="str">
        <x:v>NORMAL</x:v>
      </x:c>
      <x:c r="Q101" s="36" t="str">
        <x:v>CAR</x:v>
      </x:c>
      <x:c r="R101" s="36" t="str">
        <x:v>DIAG_SET|INSTALL_SET|CABLE_PACK</x:v>
      </x:c>
      <x:c r="S101" s="49" t="n">
        <x:v>46251.291666666664</x:v>
      </x:c>
      <x:c r="T101" s="37" t="b">
        <x:v>0</x:v>
      </x:c>
      <x:c r="U101" s="36" t="str">
        <x:v>PENDING</x:v>
      </x:c>
      <x:c r="V101" s="36"/>
      <x:c r="W101" s="36"/>
      <x:c r="X101" s="36" t="str">
        <x:v>needs_geocoding</x:v>
      </x:c>
    </x:row>
    <x:row r="102" ht="15" hidden="0" customHeight="1">
      <x:c r="A102" s="36" t="str">
        <x:v>STRESS</x:v>
      </x:c>
      <x:c r="B102" s="36" t="str">
        <x:v>SOUTHEAST-20362</x:v>
      </x:c>
      <x:c r="C102" s="36" t="str">
        <x:v>20362</x:v>
      </x:c>
      <x:c r="D102" s="36" t="str">
        <x:v>SOUTHEAST</x:v>
      </x:c>
      <x:c r="E102" s="36" t="str">
        <x:v>Юго-восток</x:v>
      </x:c>
      <x:c r="F102" s="36" t="str">
        <x:v>Подключение</x:v>
      </x:c>
      <x:c r="G102" s="36" t="str">
        <x:v>Конвергенция абонента</x:v>
      </x:c>
      <x:c r="H102" s="49" t="n">
        <x:v>46251.583333333336</x:v>
      </x:c>
      <x:c r="I102" s="49" t="n">
        <x:v>46251.666666666664</x:v>
      </x:c>
      <x:c r="J102" s="36" t="str">
        <x:v>Кашира</x:v>
      </x:c>
      <x:c r="K102" s="36" t="str">
        <x:v>Кашира, ул.Юбилейная, д. 8</x:v>
      </x:c>
      <x:c r="L102" s="36" t="str"/>
      <x:c r="M102" s="36" t="str">
        <x:v>Нет</x:v>
      </x:c>
      <x:c r="N102" s="36" t="str">
        <x:v>INSTALL</x:v>
      </x:c>
      <x:c r="O102" s="36" t="n">
        <x:v>60</x:v>
      </x:c>
      <x:c r="P102" s="36" t="str">
        <x:v>NORMAL</x:v>
      </x:c>
      <x:c r="Q102" s="36" t="str">
        <x:v>CAR</x:v>
      </x:c>
      <x:c r="R102" s="36" t="str">
        <x:v>DIAG_SET|INSTALL_SET|CABLE_PACK</x:v>
      </x:c>
      <x:c r="S102" s="49" t="n">
        <x:v>46251.291666666664</x:v>
      </x:c>
      <x:c r="T102" s="37" t="b">
        <x:v>0</x:v>
      </x:c>
      <x:c r="U102" s="36" t="str">
        <x:v>PENDING</x:v>
      </x:c>
      <x:c r="V102" s="36"/>
      <x:c r="W102" s="36"/>
      <x:c r="X102" s="36" t="str">
        <x:v>needs_geocoding</x:v>
      </x:c>
    </x:row>
    <x:row r="103" ht="15" hidden="0" customHeight="1">
      <x:c r="A103" s="36" t="str">
        <x:v>STRESS</x:v>
      </x:c>
      <x:c r="B103" s="36" t="str">
        <x:v>SOUTHEAST-40698</x:v>
      </x:c>
      <x:c r="C103" s="36" t="str">
        <x:v>40698</x:v>
      </x:c>
      <x:c r="D103" s="36" t="str">
        <x:v>SOUTHEAST</x:v>
      </x:c>
      <x:c r="E103" s="36" t="str">
        <x:v>Юго-восток</x:v>
      </x:c>
      <x:c r="F103" s="36" t="str">
        <x:v>Подключение</x:v>
      </x:c>
      <x:c r="G103" s="36" t="str">
        <x:v>Конвергенция абонента</x:v>
      </x:c>
      <x:c r="H103" s="49" t="n">
        <x:v>46251.5</x:v>
      </x:c>
      <x:c r="I103" s="49" t="n">
        <x:v>46251.583333333336</x:v>
      </x:c>
      <x:c r="J103" s="36" t="str">
        <x:v>Зябликово</x:v>
      </x:c>
      <x:c r="K103" s="36" t="str">
        <x:v>Город Москва, ул.Кустанайская, д. 9 к 1</x:v>
      </x:c>
      <x:c r="L103" s="36" t="str"/>
      <x:c r="M103" s="36" t="str">
        <x:v>Нет</x:v>
      </x:c>
      <x:c r="N103" s="36" t="str">
        <x:v>INSTALL</x:v>
      </x:c>
      <x:c r="O103" s="36" t="n">
        <x:v>60</x:v>
      </x:c>
      <x:c r="P103" s="36" t="str">
        <x:v>NORMAL</x:v>
      </x:c>
      <x:c r="Q103" s="36" t="str">
        <x:v>ANY</x:v>
      </x:c>
      <x:c r="R103" s="36" t="str">
        <x:v>DIAG_SET|INSTALL_SET|CABLE_PACK</x:v>
      </x:c>
      <x:c r="S103" s="49" t="n">
        <x:v>46251.291666666664</x:v>
      </x:c>
      <x:c r="T103" s="37" t="b">
        <x:v>0</x:v>
      </x:c>
      <x:c r="U103" s="36" t="str">
        <x:v>PENDING</x:v>
      </x:c>
      <x:c r="V103" s="36"/>
      <x:c r="W103" s="36"/>
      <x:c r="X103" s="36" t="str">
        <x:v>needs_geocoding</x:v>
      </x:c>
    </x:row>
    <x:row r="104" ht="15" hidden="0" customHeight="1">
      <x:c r="A104" s="36" t="str">
        <x:v>STRESS</x:v>
      </x:c>
      <x:c r="B104" s="36" t="str">
        <x:v>SOUTHEAST-2427</x:v>
      </x:c>
      <x:c r="C104" s="36" t="str">
        <x:v>2427</x:v>
      </x:c>
      <x:c r="D104" s="36" t="str">
        <x:v>SOUTHEAST</x:v>
      </x:c>
      <x:c r="E104" s="36" t="str">
        <x:v>Юго-восток</x:v>
      </x:c>
      <x:c r="F104" s="36" t="str">
        <x:v>Дозаказ</x:v>
      </x:c>
      <x:c r="G104" s="36" t="str">
        <x:v>Дозаказ оборудования</x:v>
      </x:c>
      <x:c r="H104" s="49" t="n">
        <x:v>46251.75</x:v>
      </x:c>
      <x:c r="I104" s="49" t="n">
        <x:v>46251.833333333336</x:v>
      </x:c>
      <x:c r="J104" s="36" t="str">
        <x:v>Царицыно</x:v>
      </x:c>
      <x:c r="K104" s="36" t="str">
        <x:v>Город Москва, пр-кт.Пролетарский, д. 18 к 4</x:v>
      </x:c>
      <x:c r="L104" s="36" t="str"/>
      <x:c r="M104" s="36" t="str">
        <x:v>Нет</x:v>
      </x:c>
      <x:c r="N104" s="36" t="str">
        <x:v>INSTALL</x:v>
      </x:c>
      <x:c r="O104" s="36" t="n">
        <x:v>45</x:v>
      </x:c>
      <x:c r="P104" s="36" t="str">
        <x:v>NORMAL</x:v>
      </x:c>
      <x:c r="Q104" s="36" t="str">
        <x:v>ANY</x:v>
      </x:c>
      <x:c r="R104" s="36" t="str">
        <x:v>DIAG_SET|INSTALL_SET</x:v>
      </x:c>
      <x:c r="S104" s="49" t="n">
        <x:v>46251.291666666664</x:v>
      </x:c>
      <x:c r="T104" s="37" t="b">
        <x:v>0</x:v>
      </x:c>
      <x:c r="U104" s="36" t="str">
        <x:v>PENDING</x:v>
      </x:c>
      <x:c r="V104" s="36"/>
      <x:c r="W104" s="36"/>
      <x:c r="X104" s="36" t="str">
        <x:v>needs_geocoding</x:v>
      </x:c>
    </x:row>
    <x:row r="105" ht="15" hidden="0" customHeight="1">
      <x:c r="A105" s="36" t="str">
        <x:v>STRESS</x:v>
      </x:c>
      <x:c r="B105" s="36" t="str">
        <x:v>SOUTHEAST-51603</x:v>
      </x:c>
      <x:c r="C105" s="36" t="str">
        <x:v>51603</x:v>
      </x:c>
      <x:c r="D105" s="36" t="str">
        <x:v>SOUTHEAST</x:v>
      </x:c>
      <x:c r="E105" s="36" t="str">
        <x:v>Юго-восток</x:v>
      </x:c>
      <x:c r="F105" s="36" t="str">
        <x:v>Дозаказ</x:v>
      </x:c>
      <x:c r="G105" s="36" t="str">
        <x:v>Заказ подключения/Дозаказ оборудования</x:v>
      </x:c>
      <x:c r="H105" s="49" t="n">
        <x:v>46251.75</x:v>
      </x:c>
      <x:c r="I105" s="49" t="n">
        <x:v>46251.833333333336</x:v>
      </x:c>
      <x:c r="J105" s="36" t="str">
        <x:v>Братеево</x:v>
      </x:c>
      <x:c r="K105" s="36" t="str">
        <x:v>Город Москва, ул.Борисовские Пруды, д. 20 к 1</x:v>
      </x:c>
      <x:c r="L105" s="36" t="str"/>
      <x:c r="M105" s="36" t="str">
        <x:v>Нет</x:v>
      </x:c>
      <x:c r="N105" s="36" t="str">
        <x:v>INSTALL</x:v>
      </x:c>
      <x:c r="O105" s="36" t="n">
        <x:v>75</x:v>
      </x:c>
      <x:c r="P105" s="36" t="str">
        <x:v>NORMAL</x:v>
      </x:c>
      <x:c r="Q105" s="36" t="str">
        <x:v>ANY</x:v>
      </x:c>
      <x:c r="R105" s="36" t="str">
        <x:v>DIAG_SET|INSTALL_SET|CABLE_PACK</x:v>
      </x:c>
      <x:c r="S105" s="49" t="n">
        <x:v>46251.291666666664</x:v>
      </x:c>
      <x:c r="T105" s="37" t="b">
        <x:v>0</x:v>
      </x:c>
      <x:c r="U105" s="36" t="str">
        <x:v>PENDING</x:v>
      </x:c>
      <x:c r="V105" s="36"/>
      <x:c r="W105" s="36"/>
      <x:c r="X105" s="36" t="str">
        <x:v>needs_geocoding</x:v>
      </x:c>
    </x:row>
    <x:row r="106" ht="15" hidden="0" customHeight="1">
      <x:c r="A106" s="36" t="str">
        <x:v>STRESS</x:v>
      </x:c>
      <x:c r="B106" s="36" t="str">
        <x:v>SOUTHEAST-13404</x:v>
      </x:c>
      <x:c r="C106" s="36" t="str">
        <x:v>13404</x:v>
      </x:c>
      <x:c r="D106" s="36" t="str">
        <x:v>SOUTHEAST</x:v>
      </x:c>
      <x:c r="E106" s="36" t="str">
        <x:v>Юго-восток</x:v>
      </x:c>
      <x:c r="F106" s="36" t="str">
        <x:v>Дозаказ</x:v>
      </x:c>
      <x:c r="G106" s="36" t="str">
        <x:v>Конвергенция абонента</x:v>
      </x:c>
      <x:c r="H106" s="49" t="n">
        <x:v>46251.833333333336</x:v>
      </x:c>
      <x:c r="I106" s="49" t="n">
        <x:v>46251.916666666664</x:v>
      </x:c>
      <x:c r="J106" s="36" t="str">
        <x:v>Кашира</x:v>
      </x:c>
      <x:c r="K106" s="36" t="str">
        <x:v>Кашира, ул.Кржижановского, д. 7</x:v>
      </x:c>
      <x:c r="L106" s="36" t="str"/>
      <x:c r="M106" s="36" t="str">
        <x:v>Нет</x:v>
      </x:c>
      <x:c r="N106" s="36" t="str">
        <x:v>INSTALL</x:v>
      </x:c>
      <x:c r="O106" s="36" t="n">
        <x:v>60</x:v>
      </x:c>
      <x:c r="P106" s="36" t="str">
        <x:v>NORMAL</x:v>
      </x:c>
      <x:c r="Q106" s="36" t="str">
        <x:v>CAR</x:v>
      </x:c>
      <x:c r="R106" s="36" t="str">
        <x:v>DIAG_SET|INSTALL_SET|CABLE_PACK</x:v>
      </x:c>
      <x:c r="S106" s="49" t="n">
        <x:v>46251.291666666664</x:v>
      </x:c>
      <x:c r="T106" s="37" t="b">
        <x:v>0</x:v>
      </x:c>
      <x:c r="U106" s="36" t="str">
        <x:v>PENDING</x:v>
      </x:c>
      <x:c r="V106" s="36"/>
      <x:c r="W106" s="36"/>
      <x:c r="X106" s="36" t="str">
        <x:v>needs_geocoding</x:v>
      </x:c>
    </x:row>
    <x:row r="107" ht="15" hidden="0" customHeight="1">
      <x:c r="A107" s="36" t="str">
        <x:v>STRESS</x:v>
      </x:c>
      <x:c r="B107" s="36" t="str">
        <x:v>SOUTHEAST-72476</x:v>
      </x:c>
      <x:c r="C107" s="36" t="str">
        <x:v>72476</x:v>
      </x:c>
      <x:c r="D107" s="36" t="str">
        <x:v>SOUTHEAST</x:v>
      </x:c>
      <x:c r="E107" s="36" t="str">
        <x:v>Юго-восток</x:v>
      </x:c>
      <x:c r="F107" s="36" t="str">
        <x:v>Дозаказ</x:v>
      </x:c>
      <x:c r="G107" s="36" t="str">
        <x:v>Дозаказ оборудования</x:v>
      </x:c>
      <x:c r="H107" s="49" t="n">
        <x:v>46251.583333333336</x:v>
      </x:c>
      <x:c r="I107" s="49" t="n">
        <x:v>46251.666666666664</x:v>
      </x:c>
      <x:c r="J107" s="36" t="str">
        <x:v>Бирюлево Западное</x:v>
      </x:c>
      <x:c r="K107" s="36" t="str">
        <x:v>Город Москва, ул.Медынская, д. 5 к 1</x:v>
      </x:c>
      <x:c r="L107" s="36" t="str"/>
      <x:c r="M107" s="36" t="str">
        <x:v>Нет</x:v>
      </x:c>
      <x:c r="N107" s="36" t="str">
        <x:v>INSTALL</x:v>
      </x:c>
      <x:c r="O107" s="36" t="n">
        <x:v>45</x:v>
      </x:c>
      <x:c r="P107" s="36" t="str">
        <x:v>NORMAL</x:v>
      </x:c>
      <x:c r="Q107" s="36" t="str">
        <x:v>ANY</x:v>
      </x:c>
      <x:c r="R107" s="36" t="str">
        <x:v>DIAG_SET|INSTALL_SET</x:v>
      </x:c>
      <x:c r="S107" s="49" t="n">
        <x:v>46251.291666666664</x:v>
      </x:c>
      <x:c r="T107" s="37" t="b">
        <x:v>0</x:v>
      </x:c>
      <x:c r="U107" s="36" t="str">
        <x:v>PENDING</x:v>
      </x:c>
      <x:c r="V107" s="36"/>
      <x:c r="W107" s="36"/>
      <x:c r="X107" s="36" t="str">
        <x:v>needs_geocoding</x:v>
      </x:c>
    </x:row>
    <x:row r="108" ht="15" hidden="0" customHeight="1">
      <x:c r="A108" s="36" t="str">
        <x:v>STRESS</x:v>
      </x:c>
      <x:c r="B108" s="36" t="str">
        <x:v>SOUTHEAST-90989</x:v>
      </x:c>
      <x:c r="C108" s="36" t="str">
        <x:v>90989</x:v>
      </x:c>
      <x:c r="D108" s="36" t="str">
        <x:v>SOUTHEAST</x:v>
      </x:c>
      <x:c r="E108" s="36" t="str">
        <x:v>Юго-восток</x:v>
      </x:c>
      <x:c r="F108" s="36" t="str">
        <x:v>Локальная заявка</x:v>
      </x:c>
      <x:c r="G108" s="36" t="str">
        <x:v>Нет линка</x:v>
      </x:c>
      <x:c r="H108" s="49" t="n">
        <x:v>46251.666666666664</x:v>
      </x:c>
      <x:c r="I108" s="49" t="n">
        <x:v>46251.75</x:v>
      </x:c>
      <x:c r="J108" s="36" t="str">
        <x:v>Домодедово</x:v>
      </x:c>
      <x:c r="K108" s="36" t="str">
        <x:v>Домодедово, ул.Гагарина, д. 55/2</x:v>
      </x:c>
      <x:c r="L108" s="36" t="str"/>
      <x:c r="M108" s="36" t="str">
        <x:v>Нет</x:v>
      </x:c>
      <x:c r="N108" s="36" t="str">
        <x:v>LOCAL</x:v>
      </x:c>
      <x:c r="O108" s="36" t="n">
        <x:v>45</x:v>
      </x:c>
      <x:c r="P108" s="36" t="str">
        <x:v>NORMAL</x:v>
      </x:c>
      <x:c r="Q108" s="36" t="str">
        <x:v>CAR</x:v>
      </x:c>
      <x:c r="R108" s="36" t="str">
        <x:v>DIAG_SET</x:v>
      </x:c>
      <x:c r="S108" s="49" t="n">
        <x:v>46251.291666666664</x:v>
      </x:c>
      <x:c r="T108" s="37" t="b">
        <x:v>0</x:v>
      </x:c>
      <x:c r="U108" s="36" t="str">
        <x:v>PENDING</x:v>
      </x:c>
      <x:c r="V108" s="36"/>
      <x:c r="W108" s="36"/>
      <x:c r="X108" s="36" t="str">
        <x:v>needs_geocoding</x:v>
      </x:c>
    </x:row>
    <x:row r="109" ht="15" hidden="0" customHeight="1">
      <x:c r="A109" s="36" t="str">
        <x:v>STRESS</x:v>
      </x:c>
      <x:c r="B109" s="36" t="str">
        <x:v>SOUTHEAST-7660</x:v>
      </x:c>
      <x:c r="C109" s="36" t="str">
        <x:v>7660</x:v>
      </x:c>
      <x:c r="D109" s="36" t="str">
        <x:v>SOUTHEAST</x:v>
      </x:c>
      <x:c r="E109" s="36" t="str">
        <x:v>Юго-восток</x:v>
      </x:c>
      <x:c r="F109" s="36" t="str">
        <x:v>Локальная заявка</x:v>
      </x:c>
      <x:c r="G109" s="36" t="str">
        <x:v>Нет линка</x:v>
      </x:c>
      <x:c r="H109" s="49" t="n">
        <x:v>46251.75</x:v>
      </x:c>
      <x:c r="I109" s="49" t="n">
        <x:v>46251.833333333336</x:v>
      </x:c>
      <x:c r="J109" s="36" t="str">
        <x:v>Домодедово</x:v>
      </x:c>
      <x:c r="K109" s="36" t="str">
        <x:v>Домодедово, ул.1-я Коммунистическая, д. 39</x:v>
      </x:c>
      <x:c r="L109" s="36" t="str"/>
      <x:c r="M109" s="36" t="str">
        <x:v>Нет</x:v>
      </x:c>
      <x:c r="N109" s="36" t="str">
        <x:v>LOCAL</x:v>
      </x:c>
      <x:c r="O109" s="36" t="n">
        <x:v>45</x:v>
      </x:c>
      <x:c r="P109" s="36" t="str">
        <x:v>NORMAL</x:v>
      </x:c>
      <x:c r="Q109" s="36" t="str">
        <x:v>CAR</x:v>
      </x:c>
      <x:c r="R109" s="36" t="str">
        <x:v>DIAG_SET</x:v>
      </x:c>
      <x:c r="S109" s="49" t="n">
        <x:v>46251.291666666664</x:v>
      </x:c>
      <x:c r="T109" s="37" t="b">
        <x:v>0</x:v>
      </x:c>
      <x:c r="U109" s="36" t="str">
        <x:v>PENDING</x:v>
      </x:c>
      <x:c r="V109" s="36"/>
      <x:c r="W109" s="36"/>
      <x:c r="X109" s="36" t="str">
        <x:v>needs_geocoding</x:v>
      </x:c>
    </x:row>
    <x:row r="110" ht="15" hidden="0" customHeight="1">
      <x:c r="A110" s="36" t="str">
        <x:v>STRESS</x:v>
      </x:c>
      <x:c r="B110" s="36" t="str">
        <x:v>SOUTHEAST-89067</x:v>
      </x:c>
      <x:c r="C110" s="36" t="str">
        <x:v>89067</x:v>
      </x:c>
      <x:c r="D110" s="36" t="str">
        <x:v>SOUTHEAST</x:v>
      </x:c>
      <x:c r="E110" s="36" t="str">
        <x:v>Юго-восток</x:v>
      </x:c>
      <x:c r="F110" s="36" t="str">
        <x:v>Локальная заявка</x:v>
      </x:c>
      <x:c r="G110" s="36" t="str">
        <x:v>Работа с кабелем</x:v>
      </x:c>
      <x:c r="H110" s="49" t="n">
        <x:v>46251.75</x:v>
      </x:c>
      <x:c r="I110" s="49" t="n">
        <x:v>46251.833333333336</x:v>
      </x:c>
      <x:c r="J110" s="36" t="str">
        <x:v>Братеево</x:v>
      </x:c>
      <x:c r="K110" s="36" t="str">
        <x:v>Город Москва, ул.Борисовские Пруды, д. 48 к 2</x:v>
      </x:c>
      <x:c r="L110" s="36" t="str"/>
      <x:c r="M110" s="36" t="str">
        <x:v>Нет</x:v>
      </x:c>
      <x:c r="N110" s="36" t="str">
        <x:v>LOCAL</x:v>
      </x:c>
      <x:c r="O110" s="36" t="n">
        <x:v>75</x:v>
      </x:c>
      <x:c r="P110" s="36" t="str">
        <x:v>NORMAL</x:v>
      </x:c>
      <x:c r="Q110" s="36" t="str">
        <x:v>ANY</x:v>
      </x:c>
      <x:c r="R110" s="36" t="str">
        <x:v>DIAG_SET|CABLE_SET|CABLE_PACK</x:v>
      </x:c>
      <x:c r="S110" s="49" t="n">
        <x:v>46251.291666666664</x:v>
      </x:c>
      <x:c r="T110" s="37" t="b">
        <x:v>0</x:v>
      </x:c>
      <x:c r="U110" s="36" t="str">
        <x:v>PENDING</x:v>
      </x:c>
      <x:c r="V110" s="36"/>
      <x:c r="W110" s="36"/>
      <x:c r="X110" s="36" t="str">
        <x:v>needs_geocoding</x:v>
      </x:c>
    </x:row>
    <x:row r="111" ht="15" hidden="0" customHeight="1">
      <x:c r="A111" s="36" t="str">
        <x:v>STRESS</x:v>
      </x:c>
      <x:c r="B111" s="36" t="str">
        <x:v>SOUTHEAST-65268</x:v>
      </x:c>
      <x:c r="C111" s="36" t="str">
        <x:v>65268</x:v>
      </x:c>
      <x:c r="D111" s="36" t="str">
        <x:v>SOUTHEAST</x:v>
      </x:c>
      <x:c r="E111" s="36" t="str">
        <x:v>Юго-восток</x:v>
      </x:c>
      <x:c r="F111" s="36" t="str">
        <x:v>Локальная заявка</x:v>
      </x:c>
      <x:c r="G111" s="36" t="str">
        <x:v>Работа с кабелем</x:v>
      </x:c>
      <x:c r="H111" s="49" t="n">
        <x:v>46251.833333333336</x:v>
      </x:c>
      <x:c r="I111" s="49" t="n">
        <x:v>46251.916666666664</x:v>
      </x:c>
      <x:c r="J111" s="36" t="str">
        <x:v>Ступино</x:v>
      </x:c>
      <x:c r="K111" s="36" t="str">
        <x:v>Ступино, ул.Калинина, д. 34</x:v>
      </x:c>
      <x:c r="L111" s="36" t="str"/>
      <x:c r="M111" s="36" t="str">
        <x:v>Нет</x:v>
      </x:c>
      <x:c r="N111" s="36" t="str">
        <x:v>LOCAL</x:v>
      </x:c>
      <x:c r="O111" s="36" t="n">
        <x:v>75</x:v>
      </x:c>
      <x:c r="P111" s="36" t="str">
        <x:v>NORMAL</x:v>
      </x:c>
      <x:c r="Q111" s="36" t="str">
        <x:v>CAR</x:v>
      </x:c>
      <x:c r="R111" s="36" t="str">
        <x:v>DIAG_SET|CABLE_SET|CABLE_PACK</x:v>
      </x:c>
      <x:c r="S111" s="49" t="n">
        <x:v>46251.291666666664</x:v>
      </x:c>
      <x:c r="T111" s="37" t="b">
        <x:v>0</x:v>
      </x:c>
      <x:c r="U111" s="36" t="str">
        <x:v>PENDING</x:v>
      </x:c>
      <x:c r="V111" s="36"/>
      <x:c r="W111" s="36"/>
      <x:c r="X111" s="36" t="str">
        <x:v>needs_geocoding</x:v>
      </x:c>
    </x:row>
    <x:row r="112" ht="15" hidden="0" customHeight="1">
      <x:c r="A112" s="36" t="str">
        <x:v>STRESS</x:v>
      </x:c>
      <x:c r="B112" s="36" t="str">
        <x:v>SOUTHEAST-33880</x:v>
      </x:c>
      <x:c r="C112" s="36" t="str">
        <x:v>33880</x:v>
      </x:c>
      <x:c r="D112" s="36" t="str">
        <x:v>SOUTHEAST</x:v>
      </x:c>
      <x:c r="E112" s="36" t="str">
        <x:v>Юго-восток</x:v>
      </x:c>
      <x:c r="F112" s="36" t="str">
        <x:v>Локальная заявка</x:v>
      </x:c>
      <x:c r="G112" s="36" t="str">
        <x:v>Низкая скорость</x:v>
      </x:c>
      <x:c r="H112" s="49" t="n">
        <x:v>46251.833333333336</x:v>
      </x:c>
      <x:c r="I112" s="49" t="n">
        <x:v>46251.916666666664</x:v>
      </x:c>
      <x:c r="J112" s="36" t="str">
        <x:v>Орехово Борисово Южное</x:v>
      </x:c>
      <x:c r="K112" s="36" t="str">
        <x:v>Город Москва, проезд.Шипиловский, д. 59 к 2</x:v>
      </x:c>
      <x:c r="L112" s="36" t="str"/>
      <x:c r="M112" s="36" t="str">
        <x:v>Нет</x:v>
      </x:c>
      <x:c r="N112" s="36" t="str">
        <x:v>LOCAL</x:v>
      </x:c>
      <x:c r="O112" s="36" t="n">
        <x:v>45</x:v>
      </x:c>
      <x:c r="P112" s="36" t="str">
        <x:v>NORMAL</x:v>
      </x:c>
      <x:c r="Q112" s="36" t="str">
        <x:v>ANY</x:v>
      </x:c>
      <x:c r="R112" s="36" t="str">
        <x:v>DIAG_SET</x:v>
      </x:c>
      <x:c r="S112" s="49" t="n">
        <x:v>46251.291666666664</x:v>
      </x:c>
      <x:c r="T112" s="37" t="b">
        <x:v>0</x:v>
      </x:c>
      <x:c r="U112" s="36" t="str">
        <x:v>PENDING</x:v>
      </x:c>
      <x:c r="V112" s="36"/>
      <x:c r="W112" s="36"/>
      <x:c r="X112" s="36" t="str">
        <x:v>needs_geocoding</x:v>
      </x:c>
    </x:row>
    <x:row r="113" ht="15" hidden="0" customHeight="1">
      <x:c r="A113" s="36" t="str">
        <x:v>STRESS</x:v>
      </x:c>
      <x:c r="B113" s="36" t="str">
        <x:v>SOUTHEAST-37590</x:v>
      </x:c>
      <x:c r="C113" s="36" t="str">
        <x:v>37590</x:v>
      </x:c>
      <x:c r="D113" s="36" t="str">
        <x:v>SOUTHEAST</x:v>
      </x:c>
      <x:c r="E113" s="36" t="str">
        <x:v>Юго-восток</x:v>
      </x:c>
      <x:c r="F113" s="36" t="str">
        <x:v>Локальная заявка</x:v>
      </x:c>
      <x:c r="G113" s="36" t="str">
        <x:v>Нет линка</x:v>
      </x:c>
      <x:c r="H113" s="49" t="n">
        <x:v>46251.833333333336</x:v>
      </x:c>
      <x:c r="I113" s="49" t="n">
        <x:v>46251.916666666664</x:v>
      </x:c>
      <x:c r="J113" s="36" t="str">
        <x:v>Бирюлево Западное</x:v>
      </x:c>
      <x:c r="K113" s="36" t="str">
        <x:v>Город Москва, проезд.Востряковский, д. 15 к 2</x:v>
      </x:c>
      <x:c r="L113" s="36" t="str"/>
      <x:c r="M113" s="36" t="str">
        <x:v>Нет</x:v>
      </x:c>
      <x:c r="N113" s="36" t="str">
        <x:v>LOCAL</x:v>
      </x:c>
      <x:c r="O113" s="36" t="n">
        <x:v>45</x:v>
      </x:c>
      <x:c r="P113" s="36" t="str">
        <x:v>NORMAL</x:v>
      </x:c>
      <x:c r="Q113" s="36" t="str">
        <x:v>ANY</x:v>
      </x:c>
      <x:c r="R113" s="36" t="str">
        <x:v>DIAG_SET</x:v>
      </x:c>
      <x:c r="S113" s="49" t="n">
        <x:v>46251.291666666664</x:v>
      </x:c>
      <x:c r="T113" s="37" t="b">
        <x:v>0</x:v>
      </x:c>
      <x:c r="U113" s="36" t="str">
        <x:v>PENDING</x:v>
      </x:c>
      <x:c r="V113" s="36"/>
      <x:c r="W113" s="36"/>
      <x:c r="X113" s="36" t="str">
        <x:v>needs_geocoding</x:v>
      </x:c>
    </x:row>
    <x:row r="114" ht="15" hidden="0" customHeight="1">
      <x:c r="A114" s="36" t="str">
        <x:v>STRESS</x:v>
      </x:c>
      <x:c r="B114" s="36" t="str">
        <x:v>SOUTHEAST-33507</x:v>
      </x:c>
      <x:c r="C114" s="36" t="str">
        <x:v>33507</x:v>
      </x:c>
      <x:c r="D114" s="36" t="str">
        <x:v>SOUTHEAST</x:v>
      </x:c>
      <x:c r="E114" s="36" t="str">
        <x:v>Юго-восток</x:v>
      </x:c>
      <x:c r="F114" s="36" t="str">
        <x:v>Локальная заявка</x:v>
      </x:c>
      <x:c r="G114" s="36" t="str">
        <x:v>Нет линка</x:v>
      </x:c>
      <x:c r="H114" s="49" t="n">
        <x:v>46251.75</x:v>
      </x:c>
      <x:c r="I114" s="49" t="n">
        <x:v>46251.833333333336</x:v>
      </x:c>
      <x:c r="J114" s="36" t="str">
        <x:v>Бирюлево Восточное</x:v>
      </x:c>
      <x:c r="K114" s="36" t="str">
        <x:v>Город Москва, ул.Бирюлёвская, д. 58 к 3</x:v>
      </x:c>
      <x:c r="L114" s="36" t="str"/>
      <x:c r="M114" s="36" t="str">
        <x:v>Нет</x:v>
      </x:c>
      <x:c r="N114" s="36" t="str">
        <x:v>LOCAL</x:v>
      </x:c>
      <x:c r="O114" s="36" t="n">
        <x:v>45</x:v>
      </x:c>
      <x:c r="P114" s="36" t="str">
        <x:v>NORMAL</x:v>
      </x:c>
      <x:c r="Q114" s="36" t="str">
        <x:v>ANY</x:v>
      </x:c>
      <x:c r="R114" s="36" t="str">
        <x:v>DIAG_SET</x:v>
      </x:c>
      <x:c r="S114" s="49" t="n">
        <x:v>46251.291666666664</x:v>
      </x:c>
      <x:c r="T114" s="37" t="b">
        <x:v>0</x:v>
      </x:c>
      <x:c r="U114" s="36" t="str">
        <x:v>PENDING</x:v>
      </x:c>
      <x:c r="V114" s="36"/>
      <x:c r="W114" s="36"/>
      <x:c r="X114" s="36" t="str">
        <x:v>needs_geocoding</x:v>
      </x:c>
    </x:row>
    <x:row r="115" ht="15" hidden="0" customHeight="1">
      <x:c r="A115" s="36" t="str">
        <x:v>STRESS</x:v>
      </x:c>
      <x:c r="B115" s="36" t="str">
        <x:v>SOUTHEAST-88209</x:v>
      </x:c>
      <x:c r="C115" s="36" t="str">
        <x:v>88209</x:v>
      </x:c>
      <x:c r="D115" s="36" t="str">
        <x:v>SOUTHEAST</x:v>
      </x:c>
      <x:c r="E115" s="36" t="str">
        <x:v>Юго-восток</x:v>
      </x:c>
      <x:c r="F115" s="36" t="str">
        <x:v>Локальная заявка</x:v>
      </x:c>
      <x:c r="G115" s="36" t="str">
        <x:v>Низкая скорость</x:v>
      </x:c>
      <x:c r="H115" s="49" t="n">
        <x:v>46251.5</x:v>
      </x:c>
      <x:c r="I115" s="49" t="n">
        <x:v>46251.583333333336</x:v>
      </x:c>
      <x:c r="J115" s="36" t="str">
        <x:v>Орехово Борисово Южное</x:v>
      </x:c>
      <x:c r="K115" s="36" t="str">
        <x:v>Город Москва, ул.Домодедовская, д. 31</x:v>
      </x:c>
      <x:c r="L115" s="36" t="str"/>
      <x:c r="M115" s="36" t="str">
        <x:v>Нет</x:v>
      </x:c>
      <x:c r="N115" s="36" t="str">
        <x:v>LOCAL</x:v>
      </x:c>
      <x:c r="O115" s="36" t="n">
        <x:v>45</x:v>
      </x:c>
      <x:c r="P115" s="36" t="str">
        <x:v>NORMAL</x:v>
      </x:c>
      <x:c r="Q115" s="36" t="str">
        <x:v>CAR</x:v>
      </x:c>
      <x:c r="R115" s="36" t="str">
        <x:v>DIAG_SET</x:v>
      </x:c>
      <x:c r="S115" s="49" t="n">
        <x:v>46251.291666666664</x:v>
      </x:c>
      <x:c r="T115" s="37" t="b">
        <x:v>0</x:v>
      </x:c>
      <x:c r="U115" s="36" t="str">
        <x:v>PENDING</x:v>
      </x:c>
      <x:c r="V115" s="36"/>
      <x:c r="W115" s="36"/>
      <x:c r="X115" s="36" t="str">
        <x:v>needs_geocoding</x:v>
      </x:c>
    </x:row>
    <x:row r="116" ht="15" hidden="0" customHeight="1">
      <x:c r="A116" s="36" t="str">
        <x:v>STRESS</x:v>
      </x:c>
      <x:c r="B116" s="36" t="str">
        <x:v>SOUTHEAST-24482</x:v>
      </x:c>
      <x:c r="C116" s="36" t="str">
        <x:v>24482</x:v>
      </x:c>
      <x:c r="D116" s="36" t="str">
        <x:v>SOUTHEAST</x:v>
      </x:c>
      <x:c r="E116" s="36" t="str">
        <x:v>Юго-восток</x:v>
      </x:c>
      <x:c r="F116" s="36" t="str">
        <x:v>Локальная заявка</x:v>
      </x:c>
      <x:c r="G116" s="36" t="str">
        <x:v>Рост ошибок на порту</x:v>
      </x:c>
      <x:c r="H116" s="49" t="n">
        <x:v>46251.833333333336</x:v>
      </x:c>
      <x:c r="I116" s="49" t="n">
        <x:v>46251.916666666664</x:v>
      </x:c>
      <x:c r="J116" s="36" t="str">
        <x:v>Царицыно</x:v>
      </x:c>
      <x:c r="K116" s="36" t="str">
        <x:v>Город Москва, ул.Весёлая, д. 33 к 7</x:v>
      </x:c>
      <x:c r="L116" s="36" t="str"/>
      <x:c r="M116" s="36" t="str">
        <x:v>Нет</x:v>
      </x:c>
      <x:c r="N116" s="36" t="str">
        <x:v>LOCAL</x:v>
      </x:c>
      <x:c r="O116" s="36" t="n">
        <x:v>45</x:v>
      </x:c>
      <x:c r="P116" s="36" t="str">
        <x:v>NORMAL</x:v>
      </x:c>
      <x:c r="Q116" s="36" t="str">
        <x:v>ANY</x:v>
      </x:c>
      <x:c r="R116" s="36" t="str">
        <x:v>DIAG_SET</x:v>
      </x:c>
      <x:c r="S116" s="49" t="n">
        <x:v>46251.291666666664</x:v>
      </x:c>
      <x:c r="T116" s="37" t="b">
        <x:v>0</x:v>
      </x:c>
      <x:c r="U116" s="36" t="str">
        <x:v>PENDING</x:v>
      </x:c>
      <x:c r="V116" s="36"/>
      <x:c r="W116" s="36"/>
      <x:c r="X116" s="36" t="str">
        <x:v>needs_geocoding</x:v>
      </x:c>
    </x:row>
    <x:row r="117" ht="15" hidden="0" customHeight="1">
      <x:c r="A117" s="36" t="str">
        <x:v>STRESS</x:v>
      </x:c>
      <x:c r="B117" s="36" t="str">
        <x:v>SOUTHEAST-40111</x:v>
      </x:c>
      <x:c r="C117" s="36" t="str">
        <x:v>40111</x:v>
      </x:c>
      <x:c r="D117" s="36" t="str">
        <x:v>SOUTHEAST</x:v>
      </x:c>
      <x:c r="E117" s="36" t="str">
        <x:v>Юго-восток</x:v>
      </x:c>
      <x:c r="F117" s="36" t="str">
        <x:v>Локальная заявка</x:v>
      </x:c>
      <x:c r="G117" s="36" t="str">
        <x:v>Работа с кабелем</x:v>
      </x:c>
      <x:c r="H117" s="49" t="n">
        <x:v>46251.416666666664</x:v>
      </x:c>
      <x:c r="I117" s="49" t="n">
        <x:v>46251.5</x:v>
      </x:c>
      <x:c r="J117" s="36" t="str">
        <x:v>Ступино</x:v>
      </x:c>
      <x:c r="K117" s="36" t="str">
        <x:v>Ступино, ул.Калинина, д. 34</x:v>
      </x:c>
      <x:c r="L117" s="36" t="str"/>
      <x:c r="M117" s="36" t="str">
        <x:v>Нет</x:v>
      </x:c>
      <x:c r="N117" s="36" t="str">
        <x:v>LOCAL</x:v>
      </x:c>
      <x:c r="O117" s="36" t="n">
        <x:v>75</x:v>
      </x:c>
      <x:c r="P117" s="36" t="str">
        <x:v>NORMAL</x:v>
      </x:c>
      <x:c r="Q117" s="36" t="str">
        <x:v>CAR</x:v>
      </x:c>
      <x:c r="R117" s="36" t="str">
        <x:v>DIAG_SET|CABLE_SET|CABLE_PACK</x:v>
      </x:c>
      <x:c r="S117" s="49" t="n">
        <x:v>46251.291666666664</x:v>
      </x:c>
      <x:c r="T117" s="37" t="b">
        <x:v>0</x:v>
      </x:c>
      <x:c r="U117" s="36" t="str">
        <x:v>PENDING</x:v>
      </x:c>
      <x:c r="V117" s="36"/>
      <x:c r="W117" s="36"/>
      <x:c r="X117" s="36" t="str">
        <x:v>needs_geocoding</x:v>
      </x:c>
    </x:row>
    <x:row r="118" ht="15" hidden="0" customHeight="1">
      <x:c r="A118" s="36" t="str">
        <x:v>STRESS</x:v>
      </x:c>
      <x:c r="B118" s="36" t="str">
        <x:v>SOUTHEAST-46199</x:v>
      </x:c>
      <x:c r="C118" s="36" t="str">
        <x:v>46199</x:v>
      </x:c>
      <x:c r="D118" s="36" t="str">
        <x:v>SOUTHEAST</x:v>
      </x:c>
      <x:c r="E118" s="36" t="str">
        <x:v>Юго-восток</x:v>
      </x:c>
      <x:c r="F118" s="36" t="str">
        <x:v>Локальная заявка</x:v>
      </x:c>
      <x:c r="G118" s="36" t="str">
        <x:v>Нет линка</x:v>
      </x:c>
      <x:c r="H118" s="49" t="n">
        <x:v>46251.5</x:v>
      </x:c>
      <x:c r="I118" s="49" t="n">
        <x:v>46251.583333333336</x:v>
      </x:c>
      <x:c r="J118" s="36" t="str">
        <x:v>Домодедово</x:v>
      </x:c>
      <x:c r="K118" s="36" t="str">
        <x:v>Домодедово, ул.Ильюшина, д. 11 к 2</x:v>
      </x:c>
      <x:c r="L118" s="36" t="str"/>
      <x:c r="M118" s="36" t="str">
        <x:v>Нет</x:v>
      </x:c>
      <x:c r="N118" s="36" t="str">
        <x:v>LOCAL</x:v>
      </x:c>
      <x:c r="O118" s="36" t="n">
        <x:v>45</x:v>
      </x:c>
      <x:c r="P118" s="36" t="str">
        <x:v>NORMAL</x:v>
      </x:c>
      <x:c r="Q118" s="36" t="str">
        <x:v>CAR</x:v>
      </x:c>
      <x:c r="R118" s="36" t="str">
        <x:v>DIAG_SET</x:v>
      </x:c>
      <x:c r="S118" s="49" t="n">
        <x:v>46251.291666666664</x:v>
      </x:c>
      <x:c r="T118" s="37" t="b">
        <x:v>0</x:v>
      </x:c>
      <x:c r="U118" s="36" t="str">
        <x:v>PENDING</x:v>
      </x:c>
      <x:c r="V118" s="36"/>
      <x:c r="W118" s="36"/>
      <x:c r="X118" s="36" t="str">
        <x:v>needs_geocoding</x:v>
      </x:c>
    </x:row>
    <x:row r="119" ht="15" hidden="0" customHeight="1">
      <x:c r="A119" s="36" t="str">
        <x:v>STRESS</x:v>
      </x:c>
      <x:c r="B119" s="36" t="str">
        <x:v>SOUTHEAST-75282</x:v>
      </x:c>
      <x:c r="C119" s="36" t="str">
        <x:v>75282</x:v>
      </x:c>
      <x:c r="D119" s="36" t="str">
        <x:v>SOUTHEAST</x:v>
      </x:c>
      <x:c r="E119" s="36" t="str">
        <x:v>Юго-восток</x:v>
      </x:c>
      <x:c r="F119" s="36" t="str">
        <x:v>Локальная заявка</x:v>
      </x:c>
      <x:c r="G119" s="36" t="str">
        <x:v>Роутер. Замена техническим специалистом</x:v>
      </x:c>
      <x:c r="H119" s="49" t="n">
        <x:v>46251.666666666664</x:v>
      </x:c>
      <x:c r="I119" s="49" t="n">
        <x:v>46251.75</x:v>
      </x:c>
      <x:c r="J119" s="36" t="str">
        <x:v>Бирюлево Западное</x:v>
      </x:c>
      <x:c r="K119" s="36" t="str">
        <x:v>Город Москва, проезд.Востряковский, д. 15 к 4</x:v>
      </x:c>
      <x:c r="L119" s="36" t="str"/>
      <x:c r="M119" s="36" t="str">
        <x:v>Нет</x:v>
      </x:c>
      <x:c r="N119" s="36" t="str">
        <x:v>LOCAL</x:v>
      </x:c>
      <x:c r="O119" s="36" t="n">
        <x:v>45</x:v>
      </x:c>
      <x:c r="P119" s="36" t="str">
        <x:v>NORMAL</x:v>
      </x:c>
      <x:c r="Q119" s="36" t="str">
        <x:v>ANY</x:v>
      </x:c>
      <x:c r="R119" s="36" t="str">
        <x:v>DIAG_SET|ROUTER</x:v>
      </x:c>
      <x:c r="S119" s="49" t="n">
        <x:v>46251.291666666664</x:v>
      </x:c>
      <x:c r="T119" s="37" t="b">
        <x:v>0</x:v>
      </x:c>
      <x:c r="U119" s="36" t="str">
        <x:v>PENDING</x:v>
      </x:c>
      <x:c r="V119" s="36"/>
      <x:c r="W119" s="36"/>
      <x:c r="X119" s="36" t="str">
        <x:v>needs_geocoding</x:v>
      </x:c>
    </x:row>
    <x:row r="120" ht="15" hidden="0" customHeight="1">
      <x:c r="A120" s="36" t="str">
        <x:v>STRESS</x:v>
      </x:c>
      <x:c r="B120" s="36" t="str">
        <x:v>SOUTHEAST-63577</x:v>
      </x:c>
      <x:c r="C120" s="36" t="str">
        <x:v>63577</x:v>
      </x:c>
      <x:c r="D120" s="36" t="str">
        <x:v>SOUTHEAST</x:v>
      </x:c>
      <x:c r="E120" s="36" t="str">
        <x:v>Юго-восток</x:v>
      </x:c>
      <x:c r="F120" s="36" t="str">
        <x:v>Локальная заявка</x:v>
      </x:c>
      <x:c r="G120" s="36" t="str">
        <x:v>Нет линка</x:v>
      </x:c>
      <x:c r="H120" s="49" t="n">
        <x:v>46251.416666666664</x:v>
      </x:c>
      <x:c r="I120" s="49" t="n">
        <x:v>46251.5</x:v>
      </x:c>
      <x:c r="J120" s="36" t="str">
        <x:v>Домодедово</x:v>
      </x:c>
      <x:c r="K120" s="36" t="str">
        <x:v>Домодедово, ул.Корнеева, д. 48</x:v>
      </x:c>
      <x:c r="L120" s="36" t="str"/>
      <x:c r="M120" s="36" t="str">
        <x:v>Нет</x:v>
      </x:c>
      <x:c r="N120" s="36" t="str">
        <x:v>LOCAL</x:v>
      </x:c>
      <x:c r="O120" s="36" t="n">
        <x:v>45</x:v>
      </x:c>
      <x:c r="P120" s="36" t="str">
        <x:v>NORMAL</x:v>
      </x:c>
      <x:c r="Q120" s="36" t="str">
        <x:v>CAR</x:v>
      </x:c>
      <x:c r="R120" s="36" t="str">
        <x:v>DIAG_SET</x:v>
      </x:c>
      <x:c r="S120" s="49" t="n">
        <x:v>46251.291666666664</x:v>
      </x:c>
      <x:c r="T120" s="37" t="b">
        <x:v>0</x:v>
      </x:c>
      <x:c r="U120" s="36" t="str">
        <x:v>PENDING</x:v>
      </x:c>
      <x:c r="V120" s="36"/>
      <x:c r="W120" s="36"/>
      <x:c r="X120" s="36" t="str">
        <x:v>needs_geocoding</x:v>
      </x:c>
    </x:row>
    <x:row r="121" ht="15" hidden="0" customHeight="1">
      <x:c r="A121" s="36" t="str">
        <x:v>STRESS</x:v>
      </x:c>
      <x:c r="B121" s="36" t="str">
        <x:v>SOUTHEAST-7610</x:v>
      </x:c>
      <x:c r="C121" s="36" t="str">
        <x:v>7610</x:v>
      </x:c>
      <x:c r="D121" s="36" t="str">
        <x:v>SOUTHEAST</x:v>
      </x:c>
      <x:c r="E121" s="36" t="str">
        <x:v>Юго-восток</x:v>
      </x:c>
      <x:c r="F121" s="36" t="str">
        <x:v>Локальная заявка</x:v>
      </x:c>
      <x:c r="G121" s="36" t="str">
        <x:v>Переключение на Гбит/с</x:v>
      </x:c>
      <x:c r="H121" s="49" t="n">
        <x:v>46251.75</x:v>
      </x:c>
      <x:c r="I121" s="49" t="n">
        <x:v>46251.833333333336</x:v>
      </x:c>
      <x:c r="J121" s="36" t="str">
        <x:v>Царицыно</x:v>
      </x:c>
      <x:c r="K121" s="36" t="str">
        <x:v>Город Москва, ул.Луганская, д. 4 к 1</x:v>
      </x:c>
      <x:c r="L121" s="36" t="str"/>
      <x:c r="M121" s="36" t="str">
        <x:v>Нет</x:v>
      </x:c>
      <x:c r="N121" s="36" t="str">
        <x:v>LOCAL</x:v>
      </x:c>
      <x:c r="O121" s="36" t="n">
        <x:v>60</x:v>
      </x:c>
      <x:c r="P121" s="36" t="str">
        <x:v>NORMAL</x:v>
      </x:c>
      <x:c r="Q121" s="36" t="str">
        <x:v>ANY</x:v>
      </x:c>
      <x:c r="R121" s="36" t="str">
        <x:v>DIAG_SET|INSTALL_SET</x:v>
      </x:c>
      <x:c r="S121" s="49" t="n">
        <x:v>46251.291666666664</x:v>
      </x:c>
      <x:c r="T121" s="37" t="b">
        <x:v>0</x:v>
      </x:c>
      <x:c r="U121" s="36" t="str">
        <x:v>PENDING</x:v>
      </x:c>
      <x:c r="V121" s="36"/>
      <x:c r="W121" s="36"/>
      <x:c r="X121" s="36" t="str">
        <x:v>needs_geocoding</x:v>
      </x:c>
    </x:row>
    <x:row r="122" ht="15" hidden="0" customHeight="1">
      <x:c r="A122" s="36" t="str">
        <x:v>STRESS</x:v>
      </x:c>
      <x:c r="B122" s="36" t="str">
        <x:v>SOUTHEAST-19216</x:v>
      </x:c>
      <x:c r="C122" s="36" t="str">
        <x:v>19216</x:v>
      </x:c>
      <x:c r="D122" s="36" t="str">
        <x:v>SOUTHEAST</x:v>
      </x:c>
      <x:c r="E122" s="36" t="str">
        <x:v>Юго-восток</x:v>
      </x:c>
      <x:c r="F122" s="36" t="str">
        <x:v>Локальная заявка</x:v>
      </x:c>
      <x:c r="G122" s="36" t="str">
        <x:v>TVE/ENT. Замена приставки техником</x:v>
      </x:c>
      <x:c r="H122" s="49" t="n">
        <x:v>46251.5</x:v>
      </x:c>
      <x:c r="I122" s="49" t="n">
        <x:v>46251.583333333336</x:v>
      </x:c>
      <x:c r="J122" s="36" t="str">
        <x:v>Царицыно</x:v>
      </x:c>
      <x:c r="K122" s="36" t="str">
        <x:v>Город Москва, ул.Луганская, д. 3 к 1</x:v>
      </x:c>
      <x:c r="L122" s="36" t="str"/>
      <x:c r="M122" s="36" t="str">
        <x:v>Нет</x:v>
      </x:c>
      <x:c r="N122" s="36" t="str">
        <x:v>LOCAL</x:v>
      </x:c>
      <x:c r="O122" s="36" t="n">
        <x:v>45</x:v>
      </x:c>
      <x:c r="P122" s="36" t="str">
        <x:v>NORMAL</x:v>
      </x:c>
      <x:c r="Q122" s="36" t="str">
        <x:v>ANY</x:v>
      </x:c>
      <x:c r="R122" s="36" t="str">
        <x:v>DIAG_SET|TV_BOX</x:v>
      </x:c>
      <x:c r="S122" s="49" t="n">
        <x:v>46251.291666666664</x:v>
      </x:c>
      <x:c r="T122" s="37" t="b">
        <x:v>0</x:v>
      </x:c>
      <x:c r="U122" s="36" t="str">
        <x:v>PENDING</x:v>
      </x:c>
      <x:c r="V122" s="36"/>
      <x:c r="W122" s="36"/>
      <x:c r="X122" s="36" t="str">
        <x:v>needs_geocoding</x:v>
      </x:c>
    </x:row>
    <x:row r="123" ht="15" hidden="0" customHeight="1">
      <x:c r="A123" s="36" t="str">
        <x:v>STRESS</x:v>
      </x:c>
      <x:c r="B123" s="36" t="str">
        <x:v>SOUTHEAST-11872</x:v>
      </x:c>
      <x:c r="C123" s="36" t="str">
        <x:v>11872</x:v>
      </x:c>
      <x:c r="D123" s="36" t="str">
        <x:v>SOUTHEAST</x:v>
      </x:c>
      <x:c r="E123" s="36" t="str">
        <x:v>Юго-восток</x:v>
      </x:c>
      <x:c r="F123" s="36" t="str">
        <x:v>Локальная заявка</x:v>
      </x:c>
      <x:c r="G123" s="36" t="str">
        <x:v>Рост ошибок на порту</x:v>
      </x:c>
      <x:c r="H123" s="49" t="n">
        <x:v>46251.583333333336</x:v>
      </x:c>
      <x:c r="I123" s="49" t="n">
        <x:v>46251.666666666664</x:v>
      </x:c>
      <x:c r="J123" s="36" t="str">
        <x:v>Царицыно</x:v>
      </x:c>
      <x:c r="K123" s="36" t="str">
        <x:v>Город Москва, ул.Весёлая, д. 33 к 7</x:v>
      </x:c>
      <x:c r="L123" s="36" t="str"/>
      <x:c r="M123" s="36" t="str">
        <x:v>Нет</x:v>
      </x:c>
      <x:c r="N123" s="36" t="str">
        <x:v>LOCAL</x:v>
      </x:c>
      <x:c r="O123" s="36" t="n">
        <x:v>45</x:v>
      </x:c>
      <x:c r="P123" s="36" t="str">
        <x:v>NORMAL</x:v>
      </x:c>
      <x:c r="Q123" s="36" t="str">
        <x:v>ANY</x:v>
      </x:c>
      <x:c r="R123" s="36" t="str">
        <x:v>DIAG_SET</x:v>
      </x:c>
      <x:c r="S123" s="49" t="n">
        <x:v>46251.291666666664</x:v>
      </x:c>
      <x:c r="T123" s="37" t="b">
        <x:v>0</x:v>
      </x:c>
      <x:c r="U123" s="36" t="str">
        <x:v>PENDING</x:v>
      </x:c>
      <x:c r="V123" s="36"/>
      <x:c r="W123" s="36"/>
      <x:c r="X123" s="36" t="str">
        <x:v>needs_geocoding</x:v>
      </x:c>
    </x:row>
    <x:row r="124" ht="15" hidden="0" customHeight="1">
      <x:c r="A124" s="36" t="str">
        <x:v>STRESS</x:v>
      </x:c>
      <x:c r="B124" s="36" t="str">
        <x:v>SOUTHEAST-54422</x:v>
      </x:c>
      <x:c r="C124" s="36" t="str">
        <x:v>54422</x:v>
      </x:c>
      <x:c r="D124" s="36" t="str">
        <x:v>SOUTHEAST</x:v>
      </x:c>
      <x:c r="E124" s="36" t="str">
        <x:v>Юго-восток</x:v>
      </x:c>
      <x:c r="F124" s="36" t="str">
        <x:v>Локальная заявка</x:v>
      </x:c>
      <x:c r="G124" s="36" t="str">
        <x:v>IP-адрес 169...</x:v>
      </x:c>
      <x:c r="H124" s="49" t="n">
        <x:v>46251.666666666664</x:v>
      </x:c>
      <x:c r="I124" s="49" t="n">
        <x:v>46251.75</x:v>
      </x:c>
      <x:c r="J124" s="36" t="str">
        <x:v>Царицыно</x:v>
      </x:c>
      <x:c r="K124" s="36" t="str">
        <x:v>Город Москва, ул.Луганская, д. 1</x:v>
      </x:c>
      <x:c r="L124" s="36" t="str"/>
      <x:c r="M124" s="36" t="str">
        <x:v>Нет</x:v>
      </x:c>
      <x:c r="N124" s="36" t="str">
        <x:v>LOCAL</x:v>
      </x:c>
      <x:c r="O124" s="36" t="n">
        <x:v>40</x:v>
      </x:c>
      <x:c r="P124" s="36" t="str">
        <x:v>NORMAL</x:v>
      </x:c>
      <x:c r="Q124" s="36" t="str">
        <x:v>ANY</x:v>
      </x:c>
      <x:c r="R124" s="36" t="str">
        <x:v>DIAG_SET</x:v>
      </x:c>
      <x:c r="S124" s="49" t="n">
        <x:v>46251.291666666664</x:v>
      </x:c>
      <x:c r="T124" s="37" t="b">
        <x:v>0</x:v>
      </x:c>
      <x:c r="U124" s="36" t="str">
        <x:v>PENDING</x:v>
      </x:c>
      <x:c r="V124" s="36"/>
      <x:c r="W124" s="36"/>
      <x:c r="X124" s="36" t="str">
        <x:v>needs_geocoding</x:v>
      </x:c>
    </x:row>
    <x:row r="125" ht="15" hidden="0" customHeight="1">
      <x:c r="A125" s="36" t="str">
        <x:v>STRESS</x:v>
      </x:c>
      <x:c r="B125" s="36" t="str">
        <x:v>SOUTHEAST-4724</x:v>
      </x:c>
      <x:c r="C125" s="36" t="str">
        <x:v>4724</x:v>
      </x:c>
      <x:c r="D125" s="36" t="str">
        <x:v>SOUTHEAST</x:v>
      </x:c>
      <x:c r="E125" s="36" t="str">
        <x:v>Юго-восток</x:v>
      </x:c>
      <x:c r="F125" s="36" t="str">
        <x:v>Локальная заявка</x:v>
      </x:c>
      <x:c r="G125" s="36" t="str">
        <x:v>Низкая скорость</x:v>
      </x:c>
      <x:c r="H125" s="49" t="n">
        <x:v>46251.75</x:v>
      </x:c>
      <x:c r="I125" s="49" t="n">
        <x:v>46251.833333333336</x:v>
      </x:c>
      <x:c r="J125" s="36" t="str">
        <x:v>Царицыно</x:v>
      </x:c>
      <x:c r="K125" s="36" t="str">
        <x:v>Город Москва, ул.Кантемировская, д. 5 к 2</x:v>
      </x:c>
      <x:c r="L125" s="36" t="str"/>
      <x:c r="M125" s="36" t="str">
        <x:v>Нет</x:v>
      </x:c>
      <x:c r="N125" s="36" t="str">
        <x:v>LOCAL</x:v>
      </x:c>
      <x:c r="O125" s="36" t="n">
        <x:v>45</x:v>
      </x:c>
      <x:c r="P125" s="36" t="str">
        <x:v>NORMAL</x:v>
      </x:c>
      <x:c r="Q125" s="36" t="str">
        <x:v>ANY</x:v>
      </x:c>
      <x:c r="R125" s="36" t="str">
        <x:v>DIAG_SET</x:v>
      </x:c>
      <x:c r="S125" s="49" t="n">
        <x:v>46251.291666666664</x:v>
      </x:c>
      <x:c r="T125" s="37" t="b">
        <x:v>0</x:v>
      </x:c>
      <x:c r="U125" s="36" t="str">
        <x:v>PENDING</x:v>
      </x:c>
      <x:c r="V125" s="36"/>
      <x:c r="W125" s="36"/>
      <x:c r="X125" s="36" t="str">
        <x:v>needs_geocoding</x:v>
      </x:c>
    </x:row>
    <x:row r="126" ht="15" hidden="0" customHeight="1">
      <x:c r="A126" s="36" t="str">
        <x:v>STRESS</x:v>
      </x:c>
      <x:c r="B126" s="36" t="str">
        <x:v>SOUTHEAST-11899</x:v>
      </x:c>
      <x:c r="C126" s="36" t="str">
        <x:v>11899</x:v>
      </x:c>
      <x:c r="D126" s="36" t="str">
        <x:v>SOUTHEAST</x:v>
      </x:c>
      <x:c r="E126" s="36" t="str">
        <x:v>Юго-восток</x:v>
      </x:c>
      <x:c r="F126" s="36" t="str">
        <x:v>Локальная заявка</x:v>
      </x:c>
      <x:c r="G126" s="36" t="str">
        <x:v>Низкая скорость</x:v>
      </x:c>
      <x:c r="H126" s="49" t="n">
        <x:v>46251.416666666664</x:v>
      </x:c>
      <x:c r="I126" s="49" t="n">
        <x:v>46251.5</x:v>
      </x:c>
      <x:c r="J126" s="36" t="str">
        <x:v>Бирюлево Восточное</x:v>
      </x:c>
      <x:c r="K126" s="36" t="str">
        <x:v>Город Москва, проезд.Загорьевский, д. 7 к 2</x:v>
      </x:c>
      <x:c r="L126" s="36" t="str"/>
      <x:c r="M126" s="36" t="str">
        <x:v>Нет</x:v>
      </x:c>
      <x:c r="N126" s="36" t="str">
        <x:v>LOCAL</x:v>
      </x:c>
      <x:c r="O126" s="36" t="n">
        <x:v>45</x:v>
      </x:c>
      <x:c r="P126" s="36" t="str">
        <x:v>NORMAL</x:v>
      </x:c>
      <x:c r="Q126" s="36" t="str">
        <x:v>ANY</x:v>
      </x:c>
      <x:c r="R126" s="36" t="str">
        <x:v>DIAG_SET</x:v>
      </x:c>
      <x:c r="S126" s="49" t="n">
        <x:v>46251.291666666664</x:v>
      </x:c>
      <x:c r="T126" s="37" t="b">
        <x:v>0</x:v>
      </x:c>
      <x:c r="U126" s="36" t="str">
        <x:v>PENDING</x:v>
      </x:c>
      <x:c r="V126" s="36"/>
      <x:c r="W126" s="36"/>
      <x:c r="X126" s="36" t="str">
        <x:v>needs_geocoding</x:v>
      </x:c>
    </x:row>
    <x:row r="127" ht="15" hidden="0" customHeight="1">
      <x:c r="A127" s="36" t="str">
        <x:v>STRESS</x:v>
      </x:c>
      <x:c r="B127" s="36" t="str">
        <x:v>SOUTHEAST-60886</x:v>
      </x:c>
      <x:c r="C127" s="36" t="str">
        <x:v>60886</x:v>
      </x:c>
      <x:c r="D127" s="36" t="str">
        <x:v>SOUTHEAST</x:v>
      </x:c>
      <x:c r="E127" s="36" t="str">
        <x:v>Юго-восток</x:v>
      </x:c>
      <x:c r="F127" s="36" t="str">
        <x:v>Локальная заявка</x:v>
      </x:c>
      <x:c r="G127" s="36" t="str">
        <x:v>Переключение на Гбит/с</x:v>
      </x:c>
      <x:c r="H127" s="49" t="n">
        <x:v>46251.666666666664</x:v>
      </x:c>
      <x:c r="I127" s="49" t="n">
        <x:v>46251.75</x:v>
      </x:c>
      <x:c r="J127" s="36" t="str">
        <x:v>Орехово Борисово Северное</x:v>
      </x:c>
      <x:c r="K127" s="36" t="str">
        <x:v>Город Москва, ул.Маршала Захарова, д. 18 к 1</x:v>
      </x:c>
      <x:c r="L127" s="36" t="str"/>
      <x:c r="M127" s="36" t="str">
        <x:v>Нет</x:v>
      </x:c>
      <x:c r="N127" s="36" t="str">
        <x:v>LOCAL</x:v>
      </x:c>
      <x:c r="O127" s="36" t="n">
        <x:v>60</x:v>
      </x:c>
      <x:c r="P127" s="36" t="str">
        <x:v>NORMAL</x:v>
      </x:c>
      <x:c r="Q127" s="36" t="str">
        <x:v>ANY</x:v>
      </x:c>
      <x:c r="R127" s="36" t="str">
        <x:v>DIAG_SET|INSTALL_SET</x:v>
      </x:c>
      <x:c r="S127" s="49" t="n">
        <x:v>46251.291666666664</x:v>
      </x:c>
      <x:c r="T127" s="37" t="b">
        <x:v>0</x:v>
      </x:c>
      <x:c r="U127" s="36" t="str">
        <x:v>PENDING</x:v>
      </x:c>
      <x:c r="V127" s="36"/>
      <x:c r="W127" s="36"/>
      <x:c r="X127" s="36" t="str">
        <x:v>needs_geocoding</x:v>
      </x:c>
    </x:row>
    <x:row r="128" ht="15" hidden="0" customHeight="1">
      <x:c r="A128" s="36" t="str">
        <x:v>STRESS</x:v>
      </x:c>
      <x:c r="B128" s="36" t="str">
        <x:v>SOUTHEAST-32066</x:v>
      </x:c>
      <x:c r="C128" s="36" t="str">
        <x:v>32066</x:v>
      </x:c>
      <x:c r="D128" s="36" t="str">
        <x:v>SOUTHEAST</x:v>
      </x:c>
      <x:c r="E128" s="36" t="str">
        <x:v>Юго-восток</x:v>
      </x:c>
      <x:c r="F128" s="36" t="str">
        <x:v>Локальная заявка</x:v>
      </x:c>
      <x:c r="G128" s="36" t="str">
        <x:v>Нет линка</x:v>
      </x:c>
      <x:c r="H128" s="49" t="n">
        <x:v>46251.583333333336</x:v>
      </x:c>
      <x:c r="I128" s="49" t="n">
        <x:v>46251.666666666664</x:v>
      </x:c>
      <x:c r="J128" s="36" t="str">
        <x:v>Орехово Борисово Южное</x:v>
      </x:c>
      <x:c r="K128" s="36" t="str">
        <x:v>Город Москва, ул.Генерала Белова, д. 45 к 2</x:v>
      </x:c>
      <x:c r="L128" s="36" t="str"/>
      <x:c r="M128" s="36" t="str">
        <x:v>Нет</x:v>
      </x:c>
      <x:c r="N128" s="36" t="str">
        <x:v>LOCAL</x:v>
      </x:c>
      <x:c r="O128" s="36" t="n">
        <x:v>45</x:v>
      </x:c>
      <x:c r="P128" s="36" t="str">
        <x:v>NORMAL</x:v>
      </x:c>
      <x:c r="Q128" s="36" t="str">
        <x:v>ANY</x:v>
      </x:c>
      <x:c r="R128" s="36" t="str">
        <x:v>DIAG_SET</x:v>
      </x:c>
      <x:c r="S128" s="49" t="n">
        <x:v>46251.291666666664</x:v>
      </x:c>
      <x:c r="T128" s="37" t="b">
        <x:v>0</x:v>
      </x:c>
      <x:c r="U128" s="36" t="str">
        <x:v>PENDING</x:v>
      </x:c>
      <x:c r="V128" s="36"/>
      <x:c r="W128" s="36"/>
      <x:c r="X128" s="36" t="str">
        <x:v>needs_geocoding</x:v>
      </x:c>
    </x:row>
    <x:row r="129" ht="15" hidden="0" customHeight="1">
      <x:c r="A129" s="36" t="str">
        <x:v>STRESS</x:v>
      </x:c>
      <x:c r="B129" s="36" t="str">
        <x:v>SOUTHEAST-63894</x:v>
      </x:c>
      <x:c r="C129" s="36" t="str">
        <x:v>63894</x:v>
      </x:c>
      <x:c r="D129" s="36" t="str">
        <x:v>SOUTHEAST</x:v>
      </x:c>
      <x:c r="E129" s="36" t="str">
        <x:v>Юго-восток</x:v>
      </x:c>
      <x:c r="F129" s="36" t="str">
        <x:v>Локальная заявка</x:v>
      </x:c>
      <x:c r="G129" s="36" t="str">
        <x:v>IP-адрес 169...</x:v>
      </x:c>
      <x:c r="H129" s="49" t="n">
        <x:v>46251.5</x:v>
      </x:c>
      <x:c r="I129" s="49" t="n">
        <x:v>46251.583333333336</x:v>
      </x:c>
      <x:c r="J129" s="36" t="str">
        <x:v>Орехово Борисово Северное</x:v>
      </x:c>
      <x:c r="K129" s="36" t="str">
        <x:v>Город Москва, ул.Шипиловская, д. 38</x:v>
      </x:c>
      <x:c r="L129" s="36" t="str"/>
      <x:c r="M129" s="36" t="str">
        <x:v>Нет</x:v>
      </x:c>
      <x:c r="N129" s="36" t="str">
        <x:v>LOCAL</x:v>
      </x:c>
      <x:c r="O129" s="36" t="n">
        <x:v>40</x:v>
      </x:c>
      <x:c r="P129" s="36" t="str">
        <x:v>NORMAL</x:v>
      </x:c>
      <x:c r="Q129" s="36" t="str">
        <x:v>ANY</x:v>
      </x:c>
      <x:c r="R129" s="36" t="str">
        <x:v>DIAG_SET</x:v>
      </x:c>
      <x:c r="S129" s="49" t="n">
        <x:v>46251.291666666664</x:v>
      </x:c>
      <x:c r="T129" s="37" t="b">
        <x:v>0</x:v>
      </x:c>
      <x:c r="U129" s="36" t="str">
        <x:v>PENDING</x:v>
      </x:c>
      <x:c r="V129" s="36"/>
      <x:c r="W129" s="36"/>
      <x:c r="X129" s="36" t="str">
        <x:v>needs_geocoding</x:v>
      </x:c>
    </x:row>
    <x:row r="130" ht="15" hidden="0" customHeight="1">
      <x:c r="A130" s="36" t="str">
        <x:v>STRESS</x:v>
      </x:c>
      <x:c r="B130" s="36" t="str">
        <x:v>SOUTHEAST-64168</x:v>
      </x:c>
      <x:c r="C130" s="36" t="str">
        <x:v>64168</x:v>
      </x:c>
      <x:c r="D130" s="36" t="str">
        <x:v>SOUTHEAST</x:v>
      </x:c>
      <x:c r="E130" s="36" t="str">
        <x:v>Юго-восток</x:v>
      </x:c>
      <x:c r="F130" s="36" t="str">
        <x:v>Локальная заявка</x:v>
      </x:c>
      <x:c r="G130" s="36" t="str">
        <x:v>TVE/ENT. Замена приставки техником</x:v>
      </x:c>
      <x:c r="H130" s="49" t="n">
        <x:v>46251.666666666664</x:v>
      </x:c>
      <x:c r="I130" s="49" t="n">
        <x:v>46251.75</x:v>
      </x:c>
      <x:c r="J130" s="36" t="str">
        <x:v>Орехово Борисово Южное</x:v>
      </x:c>
      <x:c r="K130" s="36" t="str">
        <x:v>Город Москва, проезд.Гурьевский, д. 19 к 2</x:v>
      </x:c>
      <x:c r="L130" s="36" t="str"/>
      <x:c r="M130" s="36" t="str">
        <x:v>Нет</x:v>
      </x:c>
      <x:c r="N130" s="36" t="str">
        <x:v>LOCAL</x:v>
      </x:c>
      <x:c r="O130" s="36" t="n">
        <x:v>45</x:v>
      </x:c>
      <x:c r="P130" s="36" t="str">
        <x:v>NORMAL</x:v>
      </x:c>
      <x:c r="Q130" s="36" t="str">
        <x:v>ANY</x:v>
      </x:c>
      <x:c r="R130" s="36" t="str">
        <x:v>DIAG_SET|TV_BOX</x:v>
      </x:c>
      <x:c r="S130" s="49" t="n">
        <x:v>46251.291666666664</x:v>
      </x:c>
      <x:c r="T130" s="37" t="b">
        <x:v>0</x:v>
      </x:c>
      <x:c r="U130" s="36" t="str">
        <x:v>PENDING</x:v>
      </x:c>
      <x:c r="V130" s="36"/>
      <x:c r="W130" s="36"/>
      <x:c r="X130" s="36" t="str">
        <x:v>needs_geocoding</x:v>
      </x:c>
    </x:row>
    <x:row r="131" ht="15" hidden="0" customHeight="1">
      <x:c r="A131" s="36" t="str">
        <x:v>STRESS</x:v>
      </x:c>
      <x:c r="B131" s="36" t="str">
        <x:v>SOUTHEAST-40919</x:v>
      </x:c>
      <x:c r="C131" s="36" t="str">
        <x:v>40919</x:v>
      </x:c>
      <x:c r="D131" s="36" t="str">
        <x:v>SOUTHEAST</x:v>
      </x:c>
      <x:c r="E131" s="36" t="str">
        <x:v>Юго-восток</x:v>
      </x:c>
      <x:c r="F131" s="36" t="str">
        <x:v>Локальная заявка</x:v>
      </x:c>
      <x:c r="G131" s="36" t="str">
        <x:v>Рост ошибок на порту</x:v>
      </x:c>
      <x:c r="H131" s="49" t="n">
        <x:v>46251.416666666664</x:v>
      </x:c>
      <x:c r="I131" s="49" t="n">
        <x:v>46251.5</x:v>
      </x:c>
      <x:c r="J131" s="36" t="str">
        <x:v>Орехово Борисово Северное</x:v>
      </x:c>
      <x:c r="K131" s="36" t="str">
        <x:v>Город Москва, проезд.Борисовский, д. 44 к 3</x:v>
      </x:c>
      <x:c r="L131" s="36" t="str"/>
      <x:c r="M131" s="36" t="str">
        <x:v>Нет</x:v>
      </x:c>
      <x:c r="N131" s="36" t="str">
        <x:v>LOCAL</x:v>
      </x:c>
      <x:c r="O131" s="36" t="n">
        <x:v>45</x:v>
      </x:c>
      <x:c r="P131" s="36" t="str">
        <x:v>NORMAL</x:v>
      </x:c>
      <x:c r="Q131" s="36" t="str">
        <x:v>ANY</x:v>
      </x:c>
      <x:c r="R131" s="36" t="str">
        <x:v>DIAG_SET</x:v>
      </x:c>
      <x:c r="S131" s="49" t="n">
        <x:v>46251.291666666664</x:v>
      </x:c>
      <x:c r="T131" s="37" t="b">
        <x:v>0</x:v>
      </x:c>
      <x:c r="U131" s="36" t="str">
        <x:v>PENDING</x:v>
      </x:c>
      <x:c r="V131" s="36"/>
      <x:c r="W131" s="36"/>
      <x:c r="X131" s="36" t="str">
        <x:v>needs_geocoding</x:v>
      </x:c>
    </x:row>
    <x:row r="132" ht="15" hidden="0" customHeight="1">
      <x:c r="A132" s="36" t="str">
        <x:v>STRESS</x:v>
      </x:c>
      <x:c r="B132" s="36" t="str">
        <x:v>SOUTHEAST-36961</x:v>
      </x:c>
      <x:c r="C132" s="36" t="str">
        <x:v>36961</x:v>
      </x:c>
      <x:c r="D132" s="36" t="str">
        <x:v>SOUTHEAST</x:v>
      </x:c>
      <x:c r="E132" s="36" t="str">
        <x:v>Юго-восток</x:v>
      </x:c>
      <x:c r="F132" s="36" t="str">
        <x:v>Локальная заявка</x:v>
      </x:c>
      <x:c r="G132" s="36" t="str">
        <x:v>Нет линка</x:v>
      </x:c>
      <x:c r="H132" s="49" t="n">
        <x:v>46251.75</x:v>
      </x:c>
      <x:c r="I132" s="49" t="n">
        <x:v>46251.833333333336</x:v>
      </x:c>
      <x:c r="J132" s="36" t="str">
        <x:v>Зябликово</x:v>
      </x:c>
      <x:c r="K132" s="36" t="str">
        <x:v>Город Москва, проезд.Ореховый, д. 23 к 1</x:v>
      </x:c>
      <x:c r="L132" s="36" t="str"/>
      <x:c r="M132" s="36" t="str">
        <x:v>Нет</x:v>
      </x:c>
      <x:c r="N132" s="36" t="str">
        <x:v>LOCAL</x:v>
      </x:c>
      <x:c r="O132" s="36" t="n">
        <x:v>45</x:v>
      </x:c>
      <x:c r="P132" s="36" t="str">
        <x:v>NORMAL</x:v>
      </x:c>
      <x:c r="Q132" s="36" t="str">
        <x:v>ANY</x:v>
      </x:c>
      <x:c r="R132" s="36" t="str">
        <x:v>DIAG_SET</x:v>
      </x:c>
      <x:c r="S132" s="49" t="n">
        <x:v>46251.291666666664</x:v>
      </x:c>
      <x:c r="T132" s="37" t="b">
        <x:v>0</x:v>
      </x:c>
      <x:c r="U132" s="36" t="str">
        <x:v>PENDING</x:v>
      </x:c>
      <x:c r="V132" s="36"/>
      <x:c r="W132" s="36"/>
      <x:c r="X132" s="36" t="str">
        <x:v>needs_geocoding</x:v>
      </x:c>
    </x:row>
    <x:row r="133" ht="15" hidden="0" customHeight="1">
      <x:c r="A133" s="36" t="str">
        <x:v>STRESS</x:v>
      </x:c>
      <x:c r="B133" s="36" t="str">
        <x:v>SOUTHEAST-12329</x:v>
      </x:c>
      <x:c r="C133" s="36" t="str">
        <x:v>12329</x:v>
      </x:c>
      <x:c r="D133" s="36" t="str">
        <x:v>SOUTHEAST</x:v>
      </x:c>
      <x:c r="E133" s="36" t="str">
        <x:v>Юго-восток</x:v>
      </x:c>
      <x:c r="F133" s="36" t="str">
        <x:v>Локальная заявка</x:v>
      </x:c>
      <x:c r="G133" s="36" t="str">
        <x:v>Разрывы</x:v>
      </x:c>
      <x:c r="H133" s="49" t="n">
        <x:v>46251.5</x:v>
      </x:c>
      <x:c r="I133" s="49" t="n">
        <x:v>46251.583333333336</x:v>
      </x:c>
      <x:c r="J133" s="36" t="str">
        <x:v>Бирюлево Западное</x:v>
      </x:c>
      <x:c r="K133" s="36" t="str">
        <x:v>Город Москва, ул.Булатниковская, д. 4 к 1</x:v>
      </x:c>
      <x:c r="L133" s="36" t="str"/>
      <x:c r="M133" s="36" t="str">
        <x:v>Нет</x:v>
      </x:c>
      <x:c r="N133" s="36" t="str">
        <x:v>LOCAL</x:v>
      </x:c>
      <x:c r="O133" s="36" t="n">
        <x:v>45</x:v>
      </x:c>
      <x:c r="P133" s="36" t="str">
        <x:v>NORMAL</x:v>
      </x:c>
      <x:c r="Q133" s="36" t="str">
        <x:v>ANY</x:v>
      </x:c>
      <x:c r="R133" s="36" t="str">
        <x:v>DIAG_SET</x:v>
      </x:c>
      <x:c r="S133" s="49" t="n">
        <x:v>46251.291666666664</x:v>
      </x:c>
      <x:c r="T133" s="37" t="b">
        <x:v>0</x:v>
      </x:c>
      <x:c r="U133" s="36" t="str">
        <x:v>PENDING</x:v>
      </x:c>
      <x:c r="V133" s="36"/>
      <x:c r="W133" s="36"/>
      <x:c r="X133" s="36" t="str">
        <x:v>needs_geocoding</x:v>
      </x:c>
    </x:row>
    <x:row r="134" ht="15" hidden="0" customHeight="1">
      <x:c r="A134" s="36" t="str">
        <x:v>STRESS</x:v>
      </x:c>
      <x:c r="B134" s="36" t="str">
        <x:v>SOUTHEAST-95692</x:v>
      </x:c>
      <x:c r="C134" s="36" t="str">
        <x:v>95692</x:v>
      </x:c>
      <x:c r="D134" s="36" t="str">
        <x:v>SOUTHEAST</x:v>
      </x:c>
      <x:c r="E134" s="36" t="str">
        <x:v>Юго-восток</x:v>
      </x:c>
      <x:c r="F134" s="36" t="str">
        <x:v>Локальная заявка</x:v>
      </x:c>
      <x:c r="G134" s="36" t="str">
        <x:v>Нет линка</x:v>
      </x:c>
      <x:c r="H134" s="49" t="n">
        <x:v>46251.416666666664</x:v>
      </x:c>
      <x:c r="I134" s="49" t="n">
        <x:v>46251.5</x:v>
      </x:c>
      <x:c r="J134" s="36" t="str">
        <x:v>Зябликово</x:v>
      </x:c>
      <x:c r="K134" s="36" t="str">
        <x:v>Город Москва, б-р.Ореховый, д. 61 к 1</x:v>
      </x:c>
      <x:c r="L134" s="36" t="str"/>
      <x:c r="M134" s="36" t="str">
        <x:v>Нет</x:v>
      </x:c>
      <x:c r="N134" s="36" t="str">
        <x:v>LOCAL</x:v>
      </x:c>
      <x:c r="O134" s="36" t="n">
        <x:v>45</x:v>
      </x:c>
      <x:c r="P134" s="36" t="str">
        <x:v>NORMAL</x:v>
      </x:c>
      <x:c r="Q134" s="36" t="str">
        <x:v>ANY</x:v>
      </x:c>
      <x:c r="R134" s="36" t="str">
        <x:v>DIAG_SET</x:v>
      </x:c>
      <x:c r="S134" s="49" t="n">
        <x:v>46251.291666666664</x:v>
      </x:c>
      <x:c r="T134" s="37" t="b">
        <x:v>0</x:v>
      </x:c>
      <x:c r="U134" s="36" t="str">
        <x:v>PENDING</x:v>
      </x:c>
      <x:c r="V134" s="36"/>
      <x:c r="W134" s="36"/>
      <x:c r="X134" s="36" t="str">
        <x:v>needs_geocoding</x:v>
      </x:c>
    </x:row>
    <x:row r="135" ht="15" hidden="0" customHeight="1">
      <x:c r="A135" s="36" t="str">
        <x:v>STRESS</x:v>
      </x:c>
      <x:c r="B135" s="36" t="str">
        <x:v>SOUTHEAST-13583</x:v>
      </x:c>
      <x:c r="C135" s="36" t="str">
        <x:v>13583</x:v>
      </x:c>
      <x:c r="D135" s="36" t="str">
        <x:v>SOUTHEAST</x:v>
      </x:c>
      <x:c r="E135" s="36" t="str">
        <x:v>Юго-восток</x:v>
      </x:c>
      <x:c r="F135" s="36" t="str">
        <x:v>Локальная заявка</x:v>
      </x:c>
      <x:c r="G135" s="36" t="str">
        <x:v>Нет линка</x:v>
      </x:c>
      <x:c r="H135" s="49" t="n">
        <x:v>46251.583333333336</x:v>
      </x:c>
      <x:c r="I135" s="49" t="n">
        <x:v>46251.666666666664</x:v>
      </x:c>
      <x:c r="J135" s="36" t="str">
        <x:v>Домодедово</x:v>
      </x:c>
      <x:c r="K135" s="36" t="str">
        <x:v>Домодедово, проезд.Кутузовский, д. 16</x:v>
      </x:c>
      <x:c r="L135" s="36" t="str"/>
      <x:c r="M135" s="36" t="str">
        <x:v>Нет</x:v>
      </x:c>
      <x:c r="N135" s="36" t="str">
        <x:v>LOCAL</x:v>
      </x:c>
      <x:c r="O135" s="36" t="n">
        <x:v>45</x:v>
      </x:c>
      <x:c r="P135" s="36" t="str">
        <x:v>NORMAL</x:v>
      </x:c>
      <x:c r="Q135" s="36" t="str">
        <x:v>CAR</x:v>
      </x:c>
      <x:c r="R135" s="36" t="str">
        <x:v>DIAG_SET</x:v>
      </x:c>
      <x:c r="S135" s="49" t="n">
        <x:v>46251.291666666664</x:v>
      </x:c>
      <x:c r="T135" s="37" t="b">
        <x:v>0</x:v>
      </x:c>
      <x:c r="U135" s="36" t="str">
        <x:v>PENDING</x:v>
      </x:c>
      <x:c r="V135" s="36"/>
      <x:c r="W135" s="36"/>
      <x:c r="X135" s="36" t="str">
        <x:v>needs_geocoding</x:v>
      </x:c>
    </x:row>
    <x:row r="136" ht="15" hidden="0" customHeight="1">
      <x:c r="A136" s="36" t="str">
        <x:v>STRESS</x:v>
      </x:c>
      <x:c r="B136" s="36" t="str">
        <x:v>SOUTHEAST-3151</x:v>
      </x:c>
      <x:c r="C136" s="36" t="str">
        <x:v>3151</x:v>
      </x:c>
      <x:c r="D136" s="36" t="str">
        <x:v>SOUTHEAST</x:v>
      </x:c>
      <x:c r="E136" s="36" t="str">
        <x:v>Юго-восток</x:v>
      </x:c>
      <x:c r="F136" s="36" t="str">
        <x:v>Локальная заявка</x:v>
      </x:c>
      <x:c r="G136" s="36" t="str">
        <x:v>Нет линка</x:v>
      </x:c>
      <x:c r="H136" s="49" t="n">
        <x:v>46251.5</x:v>
      </x:c>
      <x:c r="I136" s="49" t="n">
        <x:v>46251.583333333336</x:v>
      </x:c>
      <x:c r="J136" s="36" t="str">
        <x:v>Кашира</x:v>
      </x:c>
      <x:c r="K136" s="36" t="str">
        <x:v>Кашира, ул.Ленина, д. 11 к 3</x:v>
      </x:c>
      <x:c r="L136" s="36" t="str"/>
      <x:c r="M136" s="36" t="str">
        <x:v>Нет</x:v>
      </x:c>
      <x:c r="N136" s="36" t="str">
        <x:v>LOCAL</x:v>
      </x:c>
      <x:c r="O136" s="36" t="n">
        <x:v>45</x:v>
      </x:c>
      <x:c r="P136" s="36" t="str">
        <x:v>NORMAL</x:v>
      </x:c>
      <x:c r="Q136" s="36" t="str">
        <x:v>CAR</x:v>
      </x:c>
      <x:c r="R136" s="36" t="str">
        <x:v>DIAG_SET</x:v>
      </x:c>
      <x:c r="S136" s="49" t="n">
        <x:v>46251.291666666664</x:v>
      </x:c>
      <x:c r="T136" s="37" t="b">
        <x:v>0</x:v>
      </x:c>
      <x:c r="U136" s="36" t="str">
        <x:v>PENDING</x:v>
      </x:c>
      <x:c r="V136" s="36"/>
      <x:c r="W136" s="36"/>
      <x:c r="X136" s="36" t="str">
        <x:v>needs_geocoding</x:v>
      </x:c>
    </x:row>
    <x:row r="137" ht="15" hidden="0" customHeight="1">
      <x:c r="A137" s="36" t="str">
        <x:v>STRESS</x:v>
      </x:c>
      <x:c r="B137" s="36" t="str">
        <x:v>SOUTHEAST-45778</x:v>
      </x:c>
      <x:c r="C137" s="36" t="str">
        <x:v>45778</x:v>
      </x:c>
      <x:c r="D137" s="36" t="str">
        <x:v>SOUTHEAST</x:v>
      </x:c>
      <x:c r="E137" s="36" t="str">
        <x:v>Юго-восток</x:v>
      </x:c>
      <x:c r="F137" s="36" t="str">
        <x:v>Локальная заявка</x:v>
      </x:c>
      <x:c r="G137" s="36" t="str">
        <x:v>Рост ошибок на порту</x:v>
      </x:c>
      <x:c r="H137" s="49" t="n">
        <x:v>46251.583333333336</x:v>
      </x:c>
      <x:c r="I137" s="49" t="n">
        <x:v>46251.666666666664</x:v>
      </x:c>
      <x:c r="J137" s="36" t="str">
        <x:v>Кашира</x:v>
      </x:c>
      <x:c r="K137" s="36" t="str">
        <x:v>Кашира, ул.Металлургов, д. 5 к 3</x:v>
      </x:c>
      <x:c r="L137" s="36" t="str"/>
      <x:c r="M137" s="36" t="str">
        <x:v>Нет</x:v>
      </x:c>
      <x:c r="N137" s="36" t="str">
        <x:v>LOCAL</x:v>
      </x:c>
      <x:c r="O137" s="36" t="n">
        <x:v>45</x:v>
      </x:c>
      <x:c r="P137" s="36" t="str">
        <x:v>NORMAL</x:v>
      </x:c>
      <x:c r="Q137" s="36" t="str">
        <x:v>CAR</x:v>
      </x:c>
      <x:c r="R137" s="36" t="str">
        <x:v>DIAG_SET</x:v>
      </x:c>
      <x:c r="S137" s="49" t="n">
        <x:v>46251.291666666664</x:v>
      </x:c>
      <x:c r="T137" s="37" t="b">
        <x:v>0</x:v>
      </x:c>
      <x:c r="U137" s="36" t="str">
        <x:v>PENDING</x:v>
      </x:c>
      <x:c r="V137" s="36"/>
      <x:c r="W137" s="36"/>
      <x:c r="X137" s="36" t="str">
        <x:v>needs_geocoding</x:v>
      </x:c>
    </x:row>
    <x:row r="138" ht="15" hidden="0" customHeight="1">
      <x:c r="A138" s="36" t="str">
        <x:v>STRESS</x:v>
      </x:c>
      <x:c r="B138" s="36" t="str">
        <x:v>SOUTHEAST-20055</x:v>
      </x:c>
      <x:c r="C138" s="36" t="str">
        <x:v>20055</x:v>
      </x:c>
      <x:c r="D138" s="36" t="str">
        <x:v>SOUTHEAST</x:v>
      </x:c>
      <x:c r="E138" s="36" t="str">
        <x:v>Юго-восток</x:v>
      </x:c>
      <x:c r="F138" s="36" t="str">
        <x:v>Локальная заявка</x:v>
      </x:c>
      <x:c r="G138" s="36" t="str">
        <x:v>IP-адрес 169...</x:v>
      </x:c>
      <x:c r="H138" s="49" t="n">
        <x:v>46251.5</x:v>
      </x:c>
      <x:c r="I138" s="49" t="n">
        <x:v>46251.583333333336</x:v>
      </x:c>
      <x:c r="J138" s="36" t="str">
        <x:v>Зябликово</x:v>
      </x:c>
      <x:c r="K138" s="36" t="str">
        <x:v>Город Москва, ул.Мусы Джалиля, д. 9 к 1</x:v>
      </x:c>
      <x:c r="L138" s="36" t="str"/>
      <x:c r="M138" s="36" t="str">
        <x:v>Нет</x:v>
      </x:c>
      <x:c r="N138" s="36" t="str">
        <x:v>LOCAL</x:v>
      </x:c>
      <x:c r="O138" s="36" t="n">
        <x:v>40</x:v>
      </x:c>
      <x:c r="P138" s="36" t="str">
        <x:v>NORMAL</x:v>
      </x:c>
      <x:c r="Q138" s="36" t="str">
        <x:v>ANY</x:v>
      </x:c>
      <x:c r="R138" s="36" t="str">
        <x:v>DIAG_SET</x:v>
      </x:c>
      <x:c r="S138" s="49" t="n">
        <x:v>46251.291666666664</x:v>
      </x:c>
      <x:c r="T138" s="37" t="b">
        <x:v>0</x:v>
      </x:c>
      <x:c r="U138" s="36" t="str">
        <x:v>PENDING</x:v>
      </x:c>
      <x:c r="V138" s="36"/>
      <x:c r="W138" s="36"/>
      <x:c r="X138" s="36" t="str">
        <x:v>needs_geocoding</x:v>
      </x:c>
    </x:row>
    <x:row r="139" ht="15" hidden="0" customHeight="1">
      <x:c r="A139" s="36" t="str">
        <x:v>STRESS</x:v>
      </x:c>
      <x:c r="B139" s="36" t="str">
        <x:v>SOUTHEAST-7258</x:v>
      </x:c>
      <x:c r="C139" s="36" t="str">
        <x:v>7258</x:v>
      </x:c>
      <x:c r="D139" s="36" t="str">
        <x:v>SOUTHEAST</x:v>
      </x:c>
      <x:c r="E139" s="36" t="str">
        <x:v>Юго-восток</x:v>
      </x:c>
      <x:c r="F139" s="36" t="str">
        <x:v>Глобальная проблема</x:v>
      </x:c>
      <x:c r="G139" s="36" t="str">
        <x:v>Авария</x:v>
      </x:c>
      <x:c r="H139" s="49" t="n">
        <x:v>46251.833333333336</x:v>
      </x:c>
      <x:c r="I139" s="49" t="n">
        <x:v>46251.916666666664</x:v>
      </x:c>
      <x:c r="J139" s="36" t="str">
        <x:v>Домодедово</x:v>
      </x:c>
      <x:c r="K139" s="36" t="str">
        <x:v>обл.Московская область, г.Домодедово, пгт.Востряково-1, ул.Жуковского, д. 14/18</x:v>
      </x:c>
      <x:c r="L139" s="36" t="str"/>
      <x:c r="M139" s="36" t="str">
        <x:v>Нет</x:v>
      </x:c>
      <x:c r="N139" s="36" t="str">
        <x:v>EMERGENCY</x:v>
      </x:c>
      <x:c r="O139" s="36" t="n">
        <x:v>90</x:v>
      </x:c>
      <x:c r="P139" s="36" t="str">
        <x:v>URGENT</x:v>
      </x:c>
      <x:c r="Q139" s="36" t="str">
        <x:v>CAR</x:v>
      </x:c>
      <x:c r="R139" s="36" t="str">
        <x:v>DIAG_SET|CABLE_SET|CABLE_PACK</x:v>
      </x:c>
      <x:c r="S139" s="49" t="n">
        <x:v>46251.291666666664</x:v>
      </x:c>
      <x:c r="T139" s="37" t="b">
        <x:v>0</x:v>
      </x:c>
      <x:c r="U139" s="36" t="str">
        <x:v>PENDING</x:v>
      </x:c>
      <x:c r="V139" s="36"/>
      <x:c r="W139" s="36"/>
      <x:c r="X139" s="36" t="str">
        <x:v>needs_geocoding</x:v>
      </x:c>
    </x:row>
    <x:row r="140" ht="15" hidden="0" customHeight="1">
      <x:c r="A140" s="36" t="str">
        <x:v>STRESS</x:v>
      </x:c>
      <x:c r="B140" s="36" t="str">
        <x:v>SOUTHEAST-78673</x:v>
      </x:c>
      <x:c r="C140" s="36" t="str">
        <x:v>78673</x:v>
      </x:c>
      <x:c r="D140" s="36" t="str">
        <x:v>SOUTHEAST</x:v>
      </x:c>
      <x:c r="E140" s="36" t="str">
        <x:v>Юго-восток</x:v>
      </x:c>
      <x:c r="F140" s="36" t="str">
        <x:v>Глобальная проблема</x:v>
      </x:c>
      <x:c r="G140" s="36" t="str">
        <x:v>Авария</x:v>
      </x:c>
      <x:c r="H140" s="49" t="n">
        <x:v>46251.00069444445</x:v>
      </x:c>
      <x:c r="I140" s="49" t="n">
        <x:v>46251.99930555555</x:v>
      </x:c>
      <x:c r="J140" s="36" t="str">
        <x:v>Кашира</x:v>
      </x:c>
      <x:c r="K140" s="36" t="str">
        <x:v>МО, г. Кашира Центральная ул. д. 21</x:v>
      </x:c>
      <x:c r="L140" s="36" t="str"/>
      <x:c r="M140" s="36" t="str">
        <x:v>Нет</x:v>
      </x:c>
      <x:c r="N140" s="36" t="str">
        <x:v>EMERGENCY</x:v>
      </x:c>
      <x:c r="O140" s="36" t="n">
        <x:v>90</x:v>
      </x:c>
      <x:c r="P140" s="36" t="str">
        <x:v>URGENT</x:v>
      </x:c>
      <x:c r="Q140" s="36" t="str">
        <x:v>CAR</x:v>
      </x:c>
      <x:c r="R140" s="36" t="str">
        <x:v>DIAG_SET|CABLE_SET|CABLE_PACK</x:v>
      </x:c>
      <x:c r="S140" s="49" t="n">
        <x:v>46251.291666666664</x:v>
      </x:c>
      <x:c r="T140" s="37" t="b">
        <x:v>0</x:v>
      </x:c>
      <x:c r="U140" s="36" t="str">
        <x:v>PENDING</x:v>
      </x:c>
      <x:c r="V140" s="36"/>
      <x:c r="W140" s="36"/>
      <x:c r="X140" s="36" t="str">
        <x:v>needs_geocoding</x:v>
      </x:c>
    </x:row>
    <x:row r="141" ht="15" hidden="0" customHeight="1">
      <x:c r="A141" s="36" t="str">
        <x:v>STRESS</x:v>
      </x:c>
      <x:c r="B141" s="36" t="str">
        <x:v>SOUTHEAST-98998</x:v>
      </x:c>
      <x:c r="C141" s="36" t="str">
        <x:v>98998</x:v>
      </x:c>
      <x:c r="D141" s="36" t="str">
        <x:v>SOUTHEAST</x:v>
      </x:c>
      <x:c r="E141" s="36" t="str">
        <x:v>Юго-восток</x:v>
      </x:c>
      <x:c r="F141" s="36" t="str">
        <x:v>Глобальная проблема</x:v>
      </x:c>
      <x:c r="G141" s="36" t="str">
        <x:v>Авария</x:v>
      </x:c>
      <x:c r="H141" s="49" t="n">
        <x:v>46251.00069444445</x:v>
      </x:c>
      <x:c r="I141" s="49" t="n">
        <x:v>46251.99930555555</x:v>
      </x:c>
      <x:c r="J141" s="36" t="str">
        <x:v>Кашира</x:v>
      </x:c>
      <x:c r="K141" s="36" t="str">
        <x:v>МО, г. Кашира Кржижановского ул. д. 5/1</x:v>
      </x:c>
      <x:c r="L141" s="36" t="str"/>
      <x:c r="M141" s="36" t="str">
        <x:v>Нет</x:v>
      </x:c>
      <x:c r="N141" s="36" t="str">
        <x:v>EMERGENCY</x:v>
      </x:c>
      <x:c r="O141" s="36" t="n">
        <x:v>90</x:v>
      </x:c>
      <x:c r="P141" s="36" t="str">
        <x:v>URGENT</x:v>
      </x:c>
      <x:c r="Q141" s="36" t="str">
        <x:v>CAR</x:v>
      </x:c>
      <x:c r="R141" s="36" t="str">
        <x:v>DIAG_SET|CABLE_SET|CABLE_PACK</x:v>
      </x:c>
      <x:c r="S141" s="49" t="n">
        <x:v>46251.291666666664</x:v>
      </x:c>
      <x:c r="T141" s="37" t="b">
        <x:v>0</x:v>
      </x:c>
      <x:c r="U141" s="36" t="str">
        <x:v>PENDING</x:v>
      </x:c>
      <x:c r="V141" s="36"/>
      <x:c r="W141" s="36"/>
      <x:c r="X141" s="36" t="str">
        <x:v>needs_geocoding</x:v>
      </x:c>
    </x:row>
    <x:row r="142" ht="15" hidden="0" customHeight="1">
      <x:c r="A142" s="36" t="str">
        <x:v>STRESS</x:v>
      </x:c>
      <x:c r="B142" s="36" t="str">
        <x:v>SOUTHEAST-32589</x:v>
      </x:c>
      <x:c r="C142" s="36" t="str">
        <x:v>32589</x:v>
      </x:c>
      <x:c r="D142" s="36" t="str">
        <x:v>SOUTHEAST</x:v>
      </x:c>
      <x:c r="E142" s="36" t="str">
        <x:v>Юго-восток</x:v>
      </x:c>
      <x:c r="F142" s="36" t="str">
        <x:v>Глобальная проблема</x:v>
      </x:c>
      <x:c r="G142" s="36" t="str">
        <x:v>Авария</x:v>
      </x:c>
      <x:c r="H142" s="49" t="n">
        <x:v>46251.00069444445</x:v>
      </x:c>
      <x:c r="I142" s="49" t="n">
        <x:v>46251.99930555555</x:v>
      </x:c>
      <x:c r="J142" s="36" t="str">
        <x:v>Кашира</x:v>
      </x:c>
      <x:c r="K142" s="36" t="str">
        <x:v>МО, г. Кашира Кржижановского ул. д. 7к2</x:v>
      </x:c>
      <x:c r="L142" s="36" t="str"/>
      <x:c r="M142" s="36" t="str">
        <x:v>Нет</x:v>
      </x:c>
      <x:c r="N142" s="36" t="str">
        <x:v>EMERGENCY</x:v>
      </x:c>
      <x:c r="O142" s="36" t="n">
        <x:v>90</x:v>
      </x:c>
      <x:c r="P142" s="36" t="str">
        <x:v>URGENT</x:v>
      </x:c>
      <x:c r="Q142" s="36" t="str">
        <x:v>CAR</x:v>
      </x:c>
      <x:c r="R142" s="36" t="str">
        <x:v>DIAG_SET|CABLE_SET|CABLE_PACK</x:v>
      </x:c>
      <x:c r="S142" s="49" t="n">
        <x:v>46251.291666666664</x:v>
      </x:c>
      <x:c r="T142" s="37" t="b">
        <x:v>0</x:v>
      </x:c>
      <x:c r="U142" s="36" t="str">
        <x:v>PENDING</x:v>
      </x:c>
      <x:c r="V142" s="36"/>
      <x:c r="W142" s="36"/>
      <x:c r="X142" s="36" t="str">
        <x:v>needs_geocoding</x:v>
      </x:c>
    </x:row>
    <x:row r="143" ht="15" hidden="0" customHeight="1">
      <x:c r="A143" s="36" t="str">
        <x:v>STRESS</x:v>
      </x:c>
      <x:c r="B143" s="36" t="str">
        <x:v>SOUTHEAST-51774</x:v>
      </x:c>
      <x:c r="C143" s="36" t="str">
        <x:v>51774</x:v>
      </x:c>
      <x:c r="D143" s="36" t="str">
        <x:v>SOUTHEAST</x:v>
      </x:c>
      <x:c r="E143" s="36" t="str">
        <x:v>Юго-восток</x:v>
      </x:c>
      <x:c r="F143" s="36" t="str">
        <x:v>Глобальная проблема</x:v>
      </x:c>
      <x:c r="G143" s="36" t="str">
        <x:v>Авария</x:v>
      </x:c>
      <x:c r="H143" s="49" t="n">
        <x:v>46251.00069444445</x:v>
      </x:c>
      <x:c r="I143" s="49" t="n">
        <x:v>46251.99930555555</x:v>
      </x:c>
      <x:c r="J143" s="36" t="str">
        <x:v>Кашира</x:v>
      </x:c>
      <x:c r="K143" s="36" t="str">
        <x:v>МО, г. Кашира Кржижановского ул. д. 5/3</x:v>
      </x:c>
      <x:c r="L143" s="36" t="str"/>
      <x:c r="M143" s="36" t="str">
        <x:v>Нет</x:v>
      </x:c>
      <x:c r="N143" s="36" t="str">
        <x:v>EMERGENCY</x:v>
      </x:c>
      <x:c r="O143" s="36" t="n">
        <x:v>90</x:v>
      </x:c>
      <x:c r="P143" s="36" t="str">
        <x:v>URGENT</x:v>
      </x:c>
      <x:c r="Q143" s="36" t="str">
        <x:v>CAR</x:v>
      </x:c>
      <x:c r="R143" s="36" t="str">
        <x:v>DIAG_SET|CABLE_SET|CABLE_PACK</x:v>
      </x:c>
      <x:c r="S143" s="49" t="n">
        <x:v>46251.291666666664</x:v>
      </x:c>
      <x:c r="T143" s="37" t="b">
        <x:v>0</x:v>
      </x:c>
      <x:c r="U143" s="36" t="str">
        <x:v>PENDING</x:v>
      </x:c>
      <x:c r="V143" s="36"/>
      <x:c r="W143" s="36"/>
      <x:c r="X143" s="36" t="str">
        <x:v>needs_geocoding</x:v>
      </x:c>
    </x:row>
    <x:row r="144" ht="15" hidden="0" customHeight="1">
      <x:c r="A144" s="36" t="str">
        <x:v>STRESS</x:v>
      </x:c>
      <x:c r="B144" s="36" t="str">
        <x:v>SOUTHEAST-90915</x:v>
      </x:c>
      <x:c r="C144" s="36" t="str">
        <x:v>90915</x:v>
      </x:c>
      <x:c r="D144" s="36" t="str">
        <x:v>SOUTHEAST</x:v>
      </x:c>
      <x:c r="E144" s="36" t="str">
        <x:v>Юго-восток</x:v>
      </x:c>
      <x:c r="F144" s="36" t="str">
        <x:v>Глобальная проблема</x:v>
      </x:c>
      <x:c r="G144" s="36" t="str">
        <x:v>Авария</x:v>
      </x:c>
      <x:c r="H144" s="49" t="n">
        <x:v>46251.00069444445</x:v>
      </x:c>
      <x:c r="I144" s="49" t="n">
        <x:v>46251.99930555555</x:v>
      </x:c>
      <x:c r="J144" s="36" t="str">
        <x:v>Кашира</x:v>
      </x:c>
      <x:c r="K144" s="36" t="str">
        <x:v>МО, г. Кашира Кржижановского ул. д. 5/2</x:v>
      </x:c>
      <x:c r="L144" s="36" t="str"/>
      <x:c r="M144" s="36" t="str">
        <x:v>Нет</x:v>
      </x:c>
      <x:c r="N144" s="36" t="str">
        <x:v>EMERGENCY</x:v>
      </x:c>
      <x:c r="O144" s="36" t="n">
        <x:v>90</x:v>
      </x:c>
      <x:c r="P144" s="36" t="str">
        <x:v>URGENT</x:v>
      </x:c>
      <x:c r="Q144" s="36" t="str">
        <x:v>CAR</x:v>
      </x:c>
      <x:c r="R144" s="36" t="str">
        <x:v>DIAG_SET|CABLE_SET|CABLE_PACK</x:v>
      </x:c>
      <x:c r="S144" s="49" t="n">
        <x:v>46251.291666666664</x:v>
      </x:c>
      <x:c r="T144" s="37" t="b">
        <x:v>0</x:v>
      </x:c>
      <x:c r="U144" s="36" t="str">
        <x:v>PENDING</x:v>
      </x:c>
      <x:c r="V144" s="36"/>
      <x:c r="W144" s="36"/>
      <x:c r="X144" s="36" t="str">
        <x:v>needs_geocoding</x:v>
      </x:c>
    </x:row>
    <x:row r="145" ht="15" hidden="0" customHeight="1">
      <x:c r="A145" s="36" t="str">
        <x:v>STRESS</x:v>
      </x:c>
      <x:c r="B145" s="36" t="str">
        <x:v>SOUTHEAST-45243</x:v>
      </x:c>
      <x:c r="C145" s="36" t="str">
        <x:v>45243</x:v>
      </x:c>
      <x:c r="D145" s="36" t="str">
        <x:v>SOUTHEAST</x:v>
      </x:c>
      <x:c r="E145" s="36" t="str">
        <x:v>Юго-восток</x:v>
      </x:c>
      <x:c r="F145" s="36" t="str">
        <x:v>Глобальная проблема</x:v>
      </x:c>
      <x:c r="G145" s="36" t="str">
        <x:v>Авария</x:v>
      </x:c>
      <x:c r="H145" s="49" t="n">
        <x:v>46251.00069444445</x:v>
      </x:c>
      <x:c r="I145" s="49" t="n">
        <x:v>46251.99930555555</x:v>
      </x:c>
      <x:c r="J145" s="36" t="str">
        <x:v>Кашира</x:v>
      </x:c>
      <x:c r="K145" s="36" t="str">
        <x:v>МО, г. Кашира Кржижановского ул. д. 5/1</x:v>
      </x:c>
      <x:c r="L145" s="36" t="str"/>
      <x:c r="M145" s="36" t="str">
        <x:v>Нет</x:v>
      </x:c>
      <x:c r="N145" s="36" t="str">
        <x:v>EMERGENCY</x:v>
      </x:c>
      <x:c r="O145" s="36" t="n">
        <x:v>90</x:v>
      </x:c>
      <x:c r="P145" s="36" t="str">
        <x:v>URGENT</x:v>
      </x:c>
      <x:c r="Q145" s="36" t="str">
        <x:v>CAR</x:v>
      </x:c>
      <x:c r="R145" s="36" t="str">
        <x:v>DIAG_SET|CABLE_SET|CABLE_PACK</x:v>
      </x:c>
      <x:c r="S145" s="49" t="n">
        <x:v>46251.291666666664</x:v>
      </x:c>
      <x:c r="T145" s="37" t="b">
        <x:v>0</x:v>
      </x:c>
      <x:c r="U145" s="36" t="str">
        <x:v>PENDING</x:v>
      </x:c>
      <x:c r="V145" s="36"/>
      <x:c r="W145" s="36"/>
      <x:c r="X145" s="36" t="str">
        <x:v>needs_geocoding</x:v>
      </x:c>
    </x:row>
    <x:row r="146" ht="15" hidden="0" customHeight="1">
      <x:c r="A146" s="36" t="str">
        <x:v>STRESS</x:v>
      </x:c>
      <x:c r="B146" s="36" t="str">
        <x:v>SOUTHEAST-81698</x:v>
      </x:c>
      <x:c r="C146" s="36" t="str">
        <x:v>81698</x:v>
      </x:c>
      <x:c r="D146" s="36" t="str">
        <x:v>SOUTHEAST</x:v>
      </x:c>
      <x:c r="E146" s="36" t="str">
        <x:v>Юго-восток</x:v>
      </x:c>
      <x:c r="F146" s="36" t="str">
        <x:v>Глобальная проблема</x:v>
      </x:c>
      <x:c r="G146" s="36" t="str">
        <x:v>Авария</x:v>
      </x:c>
      <x:c r="H146" s="49" t="n">
        <x:v>46251.00069444445</x:v>
      </x:c>
      <x:c r="I146" s="49" t="n">
        <x:v>46251.99930555555</x:v>
      </x:c>
      <x:c r="J146" s="36" t="str">
        <x:v>Ступино</x:v>
      </x:c>
      <x:c r="K146" s="36" t="str">
        <x:v>МО, г. Ступино Андропова ул. д. 37</x:v>
      </x:c>
      <x:c r="L146" s="36" t="str"/>
      <x:c r="M146" s="36" t="str">
        <x:v>Нет</x:v>
      </x:c>
      <x:c r="N146" s="36" t="str">
        <x:v>EMERGENCY</x:v>
      </x:c>
      <x:c r="O146" s="36" t="n">
        <x:v>90</x:v>
      </x:c>
      <x:c r="P146" s="36" t="str">
        <x:v>URGENT</x:v>
      </x:c>
      <x:c r="Q146" s="36" t="str">
        <x:v>CAR</x:v>
      </x:c>
      <x:c r="R146" s="36" t="str">
        <x:v>DIAG_SET|CABLE_SET|CABLE_PACK</x:v>
      </x:c>
      <x:c r="S146" s="49" t="n">
        <x:v>46251.291666666664</x:v>
      </x:c>
      <x:c r="T146" s="37" t="b">
        <x:v>0</x:v>
      </x:c>
      <x:c r="U146" s="36" t="str">
        <x:v>PENDING</x:v>
      </x:c>
      <x:c r="V146" s="36"/>
      <x:c r="W146" s="36"/>
      <x:c r="X146" s="36" t="str">
        <x:v>needs_geocoding</x:v>
      </x:c>
    </x:row>
    <x:row r="147" ht="15" hidden="0" customHeight="1">
      <x:c r="A147" s="36" t="str">
        <x:v>STRESS</x:v>
      </x:c>
      <x:c r="B147" s="36" t="str">
        <x:v>SOUTHEAST-97168</x:v>
      </x:c>
      <x:c r="C147" s="36" t="str">
        <x:v>97168</x:v>
      </x:c>
      <x:c r="D147" s="36" t="str">
        <x:v>SOUTHEAST</x:v>
      </x:c>
      <x:c r="E147" s="36" t="str">
        <x:v>Юго-восток</x:v>
      </x:c>
      <x:c r="F147" s="36" t="str">
        <x:v>Глобальная проблема</x:v>
      </x:c>
      <x:c r="G147" s="36" t="str">
        <x:v>Авария</x:v>
      </x:c>
      <x:c r="H147" s="49" t="n">
        <x:v>46251.00069444445</x:v>
      </x:c>
      <x:c r="I147" s="49" t="n">
        <x:v>46251.99930555555</x:v>
      </x:c>
      <x:c r="J147" s="36" t="str">
        <x:v>Ступино</x:v>
      </x:c>
      <x:c r="K147" s="36" t="str">
        <x:v>МО, г. Ступино Андропова ул. д. 33</x:v>
      </x:c>
      <x:c r="L147" s="36" t="str"/>
      <x:c r="M147" s="36" t="str">
        <x:v>Нет</x:v>
      </x:c>
      <x:c r="N147" s="36" t="str">
        <x:v>EMERGENCY</x:v>
      </x:c>
      <x:c r="O147" s="36" t="n">
        <x:v>90</x:v>
      </x:c>
      <x:c r="P147" s="36" t="str">
        <x:v>URGENT</x:v>
      </x:c>
      <x:c r="Q147" s="36" t="str">
        <x:v>CAR</x:v>
      </x:c>
      <x:c r="R147" s="36" t="str">
        <x:v>DIAG_SET|CABLE_SET|CABLE_PACK</x:v>
      </x:c>
      <x:c r="S147" s="49" t="n">
        <x:v>46251.291666666664</x:v>
      </x:c>
      <x:c r="T147" s="37" t="b">
        <x:v>0</x:v>
      </x:c>
      <x:c r="U147" s="36" t="str">
        <x:v>PENDING</x:v>
      </x:c>
      <x:c r="V147" s="36"/>
      <x:c r="W147" s="36"/>
      <x:c r="X147" s="36" t="str">
        <x:v>needs_geocoding</x:v>
      </x:c>
    </x:row>
    <x:row r="148" ht="15" hidden="0" customHeight="1">
      <x:c r="A148" s="36" t="str">
        <x:v>STRESS</x:v>
      </x:c>
      <x:c r="B148" s="36" t="str">
        <x:v>SOUTHEAST-65034</x:v>
      </x:c>
      <x:c r="C148" s="36" t="str">
        <x:v>65034</x:v>
      </x:c>
      <x:c r="D148" s="36" t="str">
        <x:v>SOUTHEAST</x:v>
      </x:c>
      <x:c r="E148" s="36" t="str">
        <x:v>Юго-восток</x:v>
      </x:c>
      <x:c r="F148" s="36" t="str">
        <x:v>Глобальная проблема</x:v>
      </x:c>
      <x:c r="G148" s="36" t="str">
        <x:v>Авария</x:v>
      </x:c>
      <x:c r="H148" s="49" t="n">
        <x:v>46251.00069444445</x:v>
      </x:c>
      <x:c r="I148" s="49" t="n">
        <x:v>46251.99930555555</x:v>
      </x:c>
      <x:c r="J148" s="36" t="str">
        <x:v>Кашира</x:v>
      </x:c>
      <x:c r="K148" s="36" t="str">
        <x:v>МО, г. Кашира Центральная ул. д. 19</x:v>
      </x:c>
      <x:c r="L148" s="36" t="str"/>
      <x:c r="M148" s="36" t="str">
        <x:v>Нет</x:v>
      </x:c>
      <x:c r="N148" s="36" t="str">
        <x:v>EMERGENCY</x:v>
      </x:c>
      <x:c r="O148" s="36" t="n">
        <x:v>90</x:v>
      </x:c>
      <x:c r="P148" s="36" t="str">
        <x:v>URGENT</x:v>
      </x:c>
      <x:c r="Q148" s="36" t="str">
        <x:v>CAR</x:v>
      </x:c>
      <x:c r="R148" s="36" t="str">
        <x:v>DIAG_SET|CABLE_SET|CABLE_PACK</x:v>
      </x:c>
      <x:c r="S148" s="49" t="n">
        <x:v>46251.291666666664</x:v>
      </x:c>
      <x:c r="T148" s="37" t="b">
        <x:v>0</x:v>
      </x:c>
      <x:c r="U148" s="36" t="str">
        <x:v>PENDING</x:v>
      </x:c>
      <x:c r="V148" s="36"/>
      <x:c r="W148" s="36"/>
      <x:c r="X148" s="36" t="str">
        <x:v>needs_geocoding</x:v>
      </x:c>
    </x:row>
    <x:row r="149" ht="15" hidden="0" customHeight="1">
      <x:c r="A149" s="36" t="str">
        <x:v>STRESS</x:v>
      </x:c>
      <x:c r="B149" s="36" t="str">
        <x:v>SOUTHEAST-1287</x:v>
      </x:c>
      <x:c r="C149" s="36" t="str">
        <x:v>1287</x:v>
      </x:c>
      <x:c r="D149" s="36" t="str">
        <x:v>SOUTHEAST</x:v>
      </x:c>
      <x:c r="E149" s="36" t="str">
        <x:v>Юго-восток</x:v>
      </x:c>
      <x:c r="F149" s="36" t="str">
        <x:v>Глобальная проблема</x:v>
      </x:c>
      <x:c r="G149" s="36" t="str">
        <x:v>Авария</x:v>
      </x:c>
      <x:c r="H149" s="49" t="n">
        <x:v>46251.00069444445</x:v>
      </x:c>
      <x:c r="I149" s="49" t="n">
        <x:v>46251.99930555555</x:v>
      </x:c>
      <x:c r="J149" s="36" t="str">
        <x:v>Бирюлево Восточное</x:v>
      </x:c>
      <x:c r="K149" s="36" t="str">
        <x:v>Москва Бирюлевская ул. д. 44</x:v>
      </x:c>
      <x:c r="L149" s="36" t="str"/>
      <x:c r="M149" s="36" t="str">
        <x:v>Нет</x:v>
      </x:c>
      <x:c r="N149" s="36" t="str">
        <x:v>EMERGENCY</x:v>
      </x:c>
      <x:c r="O149" s="36" t="n">
        <x:v>90</x:v>
      </x:c>
      <x:c r="P149" s="36" t="str">
        <x:v>URGENT</x:v>
      </x:c>
      <x:c r="Q149" s="36" t="str">
        <x:v>ANY</x:v>
      </x:c>
      <x:c r="R149" s="36" t="str">
        <x:v>DIAG_SET|CABLE_SET|CABLE_PACK</x:v>
      </x:c>
      <x:c r="S149" s="49" t="n">
        <x:v>46251.291666666664</x:v>
      </x:c>
      <x:c r="T149" s="37" t="b">
        <x:v>0</x:v>
      </x:c>
      <x:c r="U149" s="36" t="str">
        <x:v>PENDING</x:v>
      </x:c>
      <x:c r="V149" s="36"/>
      <x:c r="W149" s="36"/>
      <x:c r="X149" s="36" t="str">
        <x:v>needs_geocoding</x:v>
      </x:c>
    </x:row>
    <x:row r="150" ht="15" hidden="0" customHeight="1">
      <x:c r="A150" s="36" t="str">
        <x:v>STRESS</x:v>
      </x:c>
      <x:c r="B150" s="36" t="str">
        <x:v>SOUTHEAST-31495</x:v>
      </x:c>
      <x:c r="C150" s="36" t="str">
        <x:v>31495</x:v>
      </x:c>
      <x:c r="D150" s="36" t="str">
        <x:v>SOUTHEAST</x:v>
      </x:c>
      <x:c r="E150" s="36" t="str">
        <x:v>Юго-восток</x:v>
      </x:c>
      <x:c r="F150" s="36" t="str">
        <x:v>Глобальная проблема</x:v>
      </x:c>
      <x:c r="G150" s="36" t="str">
        <x:v>Авария</x:v>
      </x:c>
      <x:c r="H150" s="49" t="n">
        <x:v>46251.00069444445</x:v>
      </x:c>
      <x:c r="I150" s="49" t="n">
        <x:v>46251.99930555555</x:v>
      </x:c>
      <x:c r="J150" s="36" t="str">
        <x:v>Бирюлево Западное</x:v>
      </x:c>
      <x:c r="K150" s="36" t="str">
        <x:v>Москва Булатниковский пр-зд. д. 6к1</x:v>
      </x:c>
      <x:c r="L150" s="36" t="str"/>
      <x:c r="M150" s="36" t="str">
        <x:v>Нет</x:v>
      </x:c>
      <x:c r="N150" s="36" t="str">
        <x:v>EMERGENCY</x:v>
      </x:c>
      <x:c r="O150" s="36" t="n">
        <x:v>90</x:v>
      </x:c>
      <x:c r="P150" s="36" t="str">
        <x:v>URGENT</x:v>
      </x:c>
      <x:c r="Q150" s="36" t="str">
        <x:v>ANY</x:v>
      </x:c>
      <x:c r="R150" s="36" t="str">
        <x:v>DIAG_SET|CABLE_SET|CABLE_PACK</x:v>
      </x:c>
      <x:c r="S150" s="49" t="n">
        <x:v>46251.291666666664</x:v>
      </x:c>
      <x:c r="T150" s="37" t="b">
        <x:v>0</x:v>
      </x:c>
      <x:c r="U150" s="36" t="str">
        <x:v>PENDING</x:v>
      </x:c>
      <x:c r="V150" s="36"/>
      <x:c r="W150" s="36"/>
      <x:c r="X150" s="36" t="str">
        <x:v>needs_geocoding</x:v>
      </x:c>
    </x:row>
    <x:row r="151" ht="15" hidden="0" customHeight="1">
      <x:c r="A151" s="36" t="str">
        <x:v>STRESS</x:v>
      </x:c>
      <x:c r="B151" s="36" t="str">
        <x:v>SOUTHCENTER-32840</x:v>
      </x:c>
      <x:c r="C151" s="36" t="str">
        <x:v>32840</x:v>
      </x:c>
      <x:c r="D151" s="36" t="str">
        <x:v>SOUTHCENTER</x:v>
      </x:c>
      <x:c r="E151" s="36" t="str">
        <x:v>Югоцентр</x:v>
      </x:c>
      <x:c r="F151" s="36" t="str">
        <x:v>Подключение</x:v>
      </x:c>
      <x:c r="G151" s="36" t="str">
        <x:v>Конвергенция абонента</x:v>
      </x:c>
      <x:c r="H151" s="49" t="n">
        <x:v>46251.75</x:v>
      </x:c>
      <x:c r="I151" s="49" t="n">
        <x:v>46251.833333333336</x:v>
      </x:c>
      <x:c r="J151" s="36" t="str">
        <x:v>Даниловский</x:v>
      </x:c>
      <x:c r="K151" s="36" t="str">
        <x:v>Город Москва, проезд.3-й Павелецкий, д. 9</x:v>
      </x:c>
      <x:c r="L151" s="36" t="str"/>
      <x:c r="M151" s="36" t="str">
        <x:v>Нет</x:v>
      </x:c>
      <x:c r="N151" s="36" t="str">
        <x:v>INSTALL</x:v>
      </x:c>
      <x:c r="O151" s="36" t="n">
        <x:v>60</x:v>
      </x:c>
      <x:c r="P151" s="36" t="str">
        <x:v>NORMAL</x:v>
      </x:c>
      <x:c r="Q151" s="36" t="str">
        <x:v>ANY</x:v>
      </x:c>
      <x:c r="R151" s="36" t="str">
        <x:v>DIAG_SET|INSTALL_SET|CABLE_PACK</x:v>
      </x:c>
      <x:c r="S151" s="49" t="n">
        <x:v>46251.291666666664</x:v>
      </x:c>
      <x:c r="T151" s="37" t="b">
        <x:v>0</x:v>
      </x:c>
      <x:c r="U151" s="36" t="str">
        <x:v>PENDING</x:v>
      </x:c>
      <x:c r="V151" s="36"/>
      <x:c r="W151" s="36"/>
      <x:c r="X151" s="36" t="str">
        <x:v>needs_geocoding</x:v>
      </x:c>
    </x:row>
    <x:row r="152" ht="15" hidden="0" customHeight="1">
      <x:c r="A152" s="36" t="str">
        <x:v>STRESS</x:v>
      </x:c>
      <x:c r="B152" s="36" t="str">
        <x:v>SOUTHCENTER-78540</x:v>
      </x:c>
      <x:c r="C152" s="36" t="str">
        <x:v>78540</x:v>
      </x:c>
      <x:c r="D152" s="36" t="str">
        <x:v>SOUTHCENTER</x:v>
      </x:c>
      <x:c r="E152" s="36" t="str">
        <x:v>Югоцентр</x:v>
      </x:c>
      <x:c r="F152" s="36" t="str">
        <x:v>Подключение</x:v>
      </x:c>
      <x:c r="G152" s="36" t="str">
        <x:v>Конвергенция абонента</x:v>
      </x:c>
      <x:c r="H152" s="49" t="n">
        <x:v>46251.75</x:v>
      </x:c>
      <x:c r="I152" s="49" t="n">
        <x:v>46251.833333333336</x:v>
      </x:c>
      <x:c r="J152" s="36" t="str">
        <x:v>Даниловский</x:v>
      </x:c>
      <x:c r="K152" s="36" t="str">
        <x:v>Город Москва, ул.Восточная, д. 2 к 2</x:v>
      </x:c>
      <x:c r="L152" s="36" t="str"/>
      <x:c r="M152" s="36" t="str">
        <x:v>Нет</x:v>
      </x:c>
      <x:c r="N152" s="36" t="str">
        <x:v>INSTALL</x:v>
      </x:c>
      <x:c r="O152" s="36" t="n">
        <x:v>60</x:v>
      </x:c>
      <x:c r="P152" s="36" t="str">
        <x:v>NORMAL</x:v>
      </x:c>
      <x:c r="Q152" s="36" t="str">
        <x:v>ANY</x:v>
      </x:c>
      <x:c r="R152" s="36" t="str">
        <x:v>DIAG_SET|INSTALL_SET|CABLE_PACK</x:v>
      </x:c>
      <x:c r="S152" s="49" t="n">
        <x:v>46251.291666666664</x:v>
      </x:c>
      <x:c r="T152" s="37" t="b">
        <x:v>0</x:v>
      </x:c>
      <x:c r="U152" s="36" t="str">
        <x:v>PENDING</x:v>
      </x:c>
      <x:c r="V152" s="36"/>
      <x:c r="W152" s="36"/>
      <x:c r="X152" s="36" t="str">
        <x:v>needs_geocoding</x:v>
      </x:c>
    </x:row>
    <x:row r="153" ht="15" hidden="0" customHeight="1">
      <x:c r="A153" s="36" t="str">
        <x:v>STRESS</x:v>
      </x:c>
      <x:c r="B153" s="36" t="str">
        <x:v>SOUTHCENTER-66376</x:v>
      </x:c>
      <x:c r="C153" s="36" t="str">
        <x:v>66376</x:v>
      </x:c>
      <x:c r="D153" s="36" t="str">
        <x:v>SOUTHCENTER</x:v>
      </x:c>
      <x:c r="E153" s="36" t="str">
        <x:v>Югоцентр</x:v>
      </x:c>
      <x:c r="F153" s="36" t="str">
        <x:v>Подключение</x:v>
      </x:c>
      <x:c r="G153" s="36" t="str">
        <x:v>Конвергенция абонента</x:v>
      </x:c>
      <x:c r="H153" s="49" t="n">
        <x:v>46251.75</x:v>
      </x:c>
      <x:c r="I153" s="49" t="n">
        <x:v>46251.833333333336</x:v>
      </x:c>
      <x:c r="J153" s="36" t="str">
        <x:v>GPON Даниловский</x:v>
      </x:c>
      <x:c r="K153" s="36" t="str">
        <x:v>Город Москва, ул.Дубининская, д. 59 к 2</x:v>
      </x:c>
      <x:c r="L153" s="36" t="str"/>
      <x:c r="M153" s="36" t="str">
        <x:v>Нет</x:v>
      </x:c>
      <x:c r="N153" s="36" t="str">
        <x:v>INSTALL</x:v>
      </x:c>
      <x:c r="O153" s="36" t="n">
        <x:v>60</x:v>
      </x:c>
      <x:c r="P153" s="36" t="str">
        <x:v>NORMAL</x:v>
      </x:c>
      <x:c r="Q153" s="36" t="str">
        <x:v>ANY</x:v>
      </x:c>
      <x:c r="R153" s="36" t="str">
        <x:v>DIAG_SET|INSTALL_SET|CABLE_PACK</x:v>
      </x:c>
      <x:c r="S153" s="49" t="n">
        <x:v>46251.291666666664</x:v>
      </x:c>
      <x:c r="T153" s="37" t="b">
        <x:v>0</x:v>
      </x:c>
      <x:c r="U153" s="36" t="str">
        <x:v>PENDING</x:v>
      </x:c>
      <x:c r="V153" s="36"/>
      <x:c r="W153" s="36"/>
      <x:c r="X153" s="36" t="str">
        <x:v>needs_geocoding</x:v>
      </x:c>
    </x:row>
    <x:row r="154" ht="15" hidden="0" customHeight="1">
      <x:c r="A154" s="36" t="str">
        <x:v>STRESS</x:v>
      </x:c>
      <x:c r="B154" s="36" t="str">
        <x:v>SOUTHCENTER-23637</x:v>
      </x:c>
      <x:c r="C154" s="36" t="str">
        <x:v>23637</x:v>
      </x:c>
      <x:c r="D154" s="36" t="str">
        <x:v>SOUTHCENTER</x:v>
      </x:c>
      <x:c r="E154" s="36" t="str">
        <x:v>Югоцентр</x:v>
      </x:c>
      <x:c r="F154" s="36" t="str">
        <x:v>Подключение</x:v>
      </x:c>
      <x:c r="G154" s="36" t="str">
        <x:v>Конвергенция абонента</x:v>
      </x:c>
      <x:c r="H154" s="49" t="n">
        <x:v>46251.833333333336</x:v>
      </x:c>
      <x:c r="I154" s="49" t="n">
        <x:v>46251.916666666664</x:v>
      </x:c>
      <x:c r="J154" s="36" t="str">
        <x:v>Академический</x:v>
      </x:c>
      <x:c r="K154" s="36" t="str">
        <x:v>Город Москва, ул.Шверника, д. 18 к 2</x:v>
      </x:c>
      <x:c r="L154" s="36" t="str"/>
      <x:c r="M154" s="36" t="str">
        <x:v>Нет</x:v>
      </x:c>
      <x:c r="N154" s="36" t="str">
        <x:v>INSTALL</x:v>
      </x:c>
      <x:c r="O154" s="36" t="n">
        <x:v>60</x:v>
      </x:c>
      <x:c r="P154" s="36" t="str">
        <x:v>NORMAL</x:v>
      </x:c>
      <x:c r="Q154" s="36" t="str">
        <x:v>ANY</x:v>
      </x:c>
      <x:c r="R154" s="36" t="str">
        <x:v>DIAG_SET|INSTALL_SET|CABLE_PACK</x:v>
      </x:c>
      <x:c r="S154" s="49" t="n">
        <x:v>46251.291666666664</x:v>
      </x:c>
      <x:c r="T154" s="37" t="b">
        <x:v>0</x:v>
      </x:c>
      <x:c r="U154" s="36" t="str">
        <x:v>PENDING</x:v>
      </x:c>
      <x:c r="V154" s="36"/>
      <x:c r="W154" s="36"/>
      <x:c r="X154" s="36" t="str">
        <x:v>needs_geocoding</x:v>
      </x:c>
    </x:row>
    <x:row r="155" ht="15" hidden="0" customHeight="1">
      <x:c r="A155" s="36" t="str">
        <x:v>STRESS</x:v>
      </x:c>
      <x:c r="B155" s="36" t="str">
        <x:v>SOUTHCENTER-97770</x:v>
      </x:c>
      <x:c r="C155" s="36" t="str">
        <x:v>97770</x:v>
      </x:c>
      <x:c r="D155" s="36" t="str">
        <x:v>SOUTHCENTER</x:v>
      </x:c>
      <x:c r="E155" s="36" t="str">
        <x:v>Югоцентр</x:v>
      </x:c>
      <x:c r="F155" s="36" t="str">
        <x:v>Подключение</x:v>
      </x:c>
      <x:c r="G155" s="36" t="str">
        <x:v>Конвергенция абонента</x:v>
      </x:c>
      <x:c r="H155" s="49" t="n">
        <x:v>46251.833333333336</x:v>
      </x:c>
      <x:c r="I155" s="49" t="n">
        <x:v>46251.916666666664</x:v>
      </x:c>
      <x:c r="J155" s="36" t="str">
        <x:v>Котловка</x:v>
      </x:c>
      <x:c r="K155" s="36" t="str">
        <x:v>Город Москва, ул.Нагорная, д. 44 к 2</x:v>
      </x:c>
      <x:c r="L155" s="36" t="str"/>
      <x:c r="M155" s="36" t="str">
        <x:v>Нет</x:v>
      </x:c>
      <x:c r="N155" s="36" t="str">
        <x:v>INSTALL</x:v>
      </x:c>
      <x:c r="O155" s="36" t="n">
        <x:v>60</x:v>
      </x:c>
      <x:c r="P155" s="36" t="str">
        <x:v>NORMAL</x:v>
      </x:c>
      <x:c r="Q155" s="36" t="str">
        <x:v>ANY</x:v>
      </x:c>
      <x:c r="R155" s="36" t="str">
        <x:v>DIAG_SET|INSTALL_SET|CABLE_PACK</x:v>
      </x:c>
      <x:c r="S155" s="49" t="n">
        <x:v>46251.291666666664</x:v>
      </x:c>
      <x:c r="T155" s="37" t="b">
        <x:v>0</x:v>
      </x:c>
      <x:c r="U155" s="36" t="str">
        <x:v>PENDING</x:v>
      </x:c>
      <x:c r="V155" s="36"/>
      <x:c r="W155" s="36"/>
      <x:c r="X155" s="36" t="str">
        <x:v>needs_geocoding</x:v>
      </x:c>
    </x:row>
    <x:row r="156" ht="15" hidden="0" customHeight="1">
      <x:c r="A156" s="36" t="str">
        <x:v>STRESS</x:v>
      </x:c>
      <x:c r="B156" s="36" t="str">
        <x:v>SOUTHCENTER-55711</x:v>
      </x:c>
      <x:c r="C156" s="36" t="str">
        <x:v>55711</x:v>
      </x:c>
      <x:c r="D156" s="36" t="str">
        <x:v>SOUTHCENTER</x:v>
      </x:c>
      <x:c r="E156" s="36" t="str">
        <x:v>Югоцентр</x:v>
      </x:c>
      <x:c r="F156" s="36" t="str">
        <x:v>Подключение</x:v>
      </x:c>
      <x:c r="G156" s="36" t="str">
        <x:v>Конвергенция абонента</x:v>
      </x:c>
      <x:c r="H156" s="49" t="n">
        <x:v>46251.5</x:v>
      </x:c>
      <x:c r="I156" s="49" t="n">
        <x:v>46251.583333333336</x:v>
      </x:c>
      <x:c r="J156" s="36" t="str">
        <x:v>Зюзино</x:v>
      </x:c>
      <x:c r="K156" s="36" t="str">
        <x:v>Город Москва, ул.Херсонская, д. 18</x:v>
      </x:c>
      <x:c r="L156" s="36" t="str"/>
      <x:c r="M156" s="36" t="str">
        <x:v>Нет</x:v>
      </x:c>
      <x:c r="N156" s="36" t="str">
        <x:v>INSTALL</x:v>
      </x:c>
      <x:c r="O156" s="36" t="n">
        <x:v>60</x:v>
      </x:c>
      <x:c r="P156" s="36" t="str">
        <x:v>NORMAL</x:v>
      </x:c>
      <x:c r="Q156" s="36" t="str">
        <x:v>ANY</x:v>
      </x:c>
      <x:c r="R156" s="36" t="str">
        <x:v>DIAG_SET|INSTALL_SET|CABLE_PACK</x:v>
      </x:c>
      <x:c r="S156" s="49" t="n">
        <x:v>46251.291666666664</x:v>
      </x:c>
      <x:c r="T156" s="37" t="b">
        <x:v>0</x:v>
      </x:c>
      <x:c r="U156" s="36" t="str">
        <x:v>PENDING</x:v>
      </x:c>
      <x:c r="V156" s="36"/>
      <x:c r="W156" s="36"/>
      <x:c r="X156" s="36" t="str">
        <x:v>needs_geocoding</x:v>
      </x:c>
    </x:row>
    <x:row r="157" ht="15" hidden="0" customHeight="1">
      <x:c r="A157" s="36" t="str">
        <x:v>STRESS</x:v>
      </x:c>
      <x:c r="B157" s="36" t="str">
        <x:v>SOUTHCENTER-76944</x:v>
      </x:c>
      <x:c r="C157" s="36" t="str">
        <x:v>76944</x:v>
      </x:c>
      <x:c r="D157" s="36" t="str">
        <x:v>SOUTHCENTER</x:v>
      </x:c>
      <x:c r="E157" s="36" t="str">
        <x:v>Югоцентр</x:v>
      </x:c>
      <x:c r="F157" s="36" t="str">
        <x:v>Подключение</x:v>
      </x:c>
      <x:c r="G157" s="36" t="str">
        <x:v>Конвергенция абонента</x:v>
      </x:c>
      <x:c r="H157" s="49" t="n">
        <x:v>46251.666666666664</x:v>
      </x:c>
      <x:c r="I157" s="49" t="n">
        <x:v>46251.75</x:v>
      </x:c>
      <x:c r="J157" s="36" t="str">
        <x:v>Академический</x:v>
      </x:c>
      <x:c r="K157" s="36" t="str">
        <x:v>Город Москва, пр-кт.60-летия Октября, д. 18 к 2</x:v>
      </x:c>
      <x:c r="L157" s="36" t="str"/>
      <x:c r="M157" s="36" t="str">
        <x:v>Нет</x:v>
      </x:c>
      <x:c r="N157" s="36" t="str">
        <x:v>INSTALL</x:v>
      </x:c>
      <x:c r="O157" s="36" t="n">
        <x:v>60</x:v>
      </x:c>
      <x:c r="P157" s="36" t="str">
        <x:v>NORMAL</x:v>
      </x:c>
      <x:c r="Q157" s="36" t="str">
        <x:v>ANY</x:v>
      </x:c>
      <x:c r="R157" s="36" t="str">
        <x:v>DIAG_SET|INSTALL_SET|CABLE_PACK</x:v>
      </x:c>
      <x:c r="S157" s="49" t="n">
        <x:v>46251.291666666664</x:v>
      </x:c>
      <x:c r="T157" s="37" t="b">
        <x:v>0</x:v>
      </x:c>
      <x:c r="U157" s="36" t="str">
        <x:v>PENDING</x:v>
      </x:c>
      <x:c r="V157" s="36"/>
      <x:c r="W157" s="36"/>
      <x:c r="X157" s="36" t="str">
        <x:v>needs_geocoding</x:v>
      </x:c>
    </x:row>
    <x:row r="158" ht="15" hidden="0" customHeight="1">
      <x:c r="A158" s="36" t="str">
        <x:v>STRESS</x:v>
      </x:c>
      <x:c r="B158" s="36" t="str">
        <x:v>SOUTHCENTER-75881</x:v>
      </x:c>
      <x:c r="C158" s="36" t="str">
        <x:v>75881</x:v>
      </x:c>
      <x:c r="D158" s="36" t="str">
        <x:v>SOUTHCENTER</x:v>
      </x:c>
      <x:c r="E158" s="36" t="str">
        <x:v>Югоцентр</x:v>
      </x:c>
      <x:c r="F158" s="36" t="str">
        <x:v>Подключение</x:v>
      </x:c>
      <x:c r="G158" s="36" t="str">
        <x:v>Конвергенция абонента</x:v>
      </x:c>
      <x:c r="H158" s="49" t="n">
        <x:v>46251.583333333336</x:v>
      </x:c>
      <x:c r="I158" s="49" t="n">
        <x:v>46251.666666666664</x:v>
      </x:c>
      <x:c r="J158" s="36" t="str">
        <x:v>Академический</x:v>
      </x:c>
      <x:c r="K158" s="36" t="str">
        <x:v>Город Москва, ул.Дмитрия Ульянова, д. 27</x:v>
      </x:c>
      <x:c r="L158" s="36" t="str"/>
      <x:c r="M158" s="36" t="str">
        <x:v>Нет</x:v>
      </x:c>
      <x:c r="N158" s="36" t="str">
        <x:v>INSTALL</x:v>
      </x:c>
      <x:c r="O158" s="36" t="n">
        <x:v>60</x:v>
      </x:c>
      <x:c r="P158" s="36" t="str">
        <x:v>NORMAL</x:v>
      </x:c>
      <x:c r="Q158" s="36" t="str">
        <x:v>ANY</x:v>
      </x:c>
      <x:c r="R158" s="36" t="str">
        <x:v>DIAG_SET|INSTALL_SET|CABLE_PACK</x:v>
      </x:c>
      <x:c r="S158" s="49" t="n">
        <x:v>46251.291666666664</x:v>
      </x:c>
      <x:c r="T158" s="37" t="b">
        <x:v>0</x:v>
      </x:c>
      <x:c r="U158" s="36" t="str">
        <x:v>PENDING</x:v>
      </x:c>
      <x:c r="V158" s="36"/>
      <x:c r="W158" s="36"/>
      <x:c r="X158" s="36" t="str">
        <x:v>needs_geocoding</x:v>
      </x:c>
    </x:row>
    <x:row r="159" ht="15" hidden="0" customHeight="1">
      <x:c r="A159" s="36" t="str">
        <x:v>STRESS</x:v>
      </x:c>
      <x:c r="B159" s="36" t="str">
        <x:v>SOUTHCENTER-85188</x:v>
      </x:c>
      <x:c r="C159" s="36" t="str">
        <x:v>85188</x:v>
      </x:c>
      <x:c r="D159" s="36" t="str">
        <x:v>SOUTHCENTER</x:v>
      </x:c>
      <x:c r="E159" s="36" t="str">
        <x:v>Югоцентр</x:v>
      </x:c>
      <x:c r="F159" s="36" t="str">
        <x:v>Подключение</x:v>
      </x:c>
      <x:c r="G159" s="36" t="str">
        <x:v>Заказ подключения/Дозаказ оборудования</x:v>
      </x:c>
      <x:c r="H159" s="49" t="n">
        <x:v>46251.666666666664</x:v>
      </x:c>
      <x:c r="I159" s="49" t="n">
        <x:v>46251.75</x:v>
      </x:c>
      <x:c r="J159" s="36" t="str">
        <x:v>Хамовники</x:v>
      </x:c>
      <x:c r="K159" s="36" t="str">
        <x:v>Город Москва, ул.Усачёва, д. 29 к 1</x:v>
      </x:c>
      <x:c r="L159" s="36" t="str"/>
      <x:c r="M159" s="36" t="str">
        <x:v>Нет</x:v>
      </x:c>
      <x:c r="N159" s="36" t="str">
        <x:v>INSTALL</x:v>
      </x:c>
      <x:c r="O159" s="36" t="n">
        <x:v>75</x:v>
      </x:c>
      <x:c r="P159" s="36" t="str">
        <x:v>NORMAL</x:v>
      </x:c>
      <x:c r="Q159" s="36" t="str">
        <x:v>ANY</x:v>
      </x:c>
      <x:c r="R159" s="36" t="str">
        <x:v>DIAG_SET|INSTALL_SET|CABLE_PACK</x:v>
      </x:c>
      <x:c r="S159" s="49" t="n">
        <x:v>46251.291666666664</x:v>
      </x:c>
      <x:c r="T159" s="37" t="b">
        <x:v>0</x:v>
      </x:c>
      <x:c r="U159" s="36" t="str">
        <x:v>PENDING</x:v>
      </x:c>
      <x:c r="V159" s="36"/>
      <x:c r="W159" s="36"/>
      <x:c r="X159" s="36" t="str">
        <x:v>needs_geocoding</x:v>
      </x:c>
    </x:row>
    <x:row r="160" ht="15" hidden="0" customHeight="1">
      <x:c r="A160" s="36" t="str">
        <x:v>STRESS</x:v>
      </x:c>
      <x:c r="B160" s="36" t="str">
        <x:v>SOUTHCENTER-19376</x:v>
      </x:c>
      <x:c r="C160" s="36" t="str">
        <x:v>19376</x:v>
      </x:c>
      <x:c r="D160" s="36" t="str">
        <x:v>SOUTHCENTER</x:v>
      </x:c>
      <x:c r="E160" s="36" t="str">
        <x:v>Югоцентр</x:v>
      </x:c>
      <x:c r="F160" s="36" t="str">
        <x:v>Подключение</x:v>
      </x:c>
      <x:c r="G160" s="36" t="str">
        <x:v>Конвергенция абонента</x:v>
      </x:c>
      <x:c r="H160" s="49" t="n">
        <x:v>46251.666666666664</x:v>
      </x:c>
      <x:c r="I160" s="49" t="n">
        <x:v>46251.75</x:v>
      </x:c>
      <x:c r="J160" s="36" t="str">
        <x:v>Академический</x:v>
      </x:c>
      <x:c r="K160" s="36" t="str">
        <x:v>Город Москва, ул.Винокурова, д. 12 к 4</x:v>
      </x:c>
      <x:c r="L160" s="36" t="str"/>
      <x:c r="M160" s="36" t="str">
        <x:v>Нет</x:v>
      </x:c>
      <x:c r="N160" s="36" t="str">
        <x:v>INSTALL</x:v>
      </x:c>
      <x:c r="O160" s="36" t="n">
        <x:v>60</x:v>
      </x:c>
      <x:c r="P160" s="36" t="str">
        <x:v>NORMAL</x:v>
      </x:c>
      <x:c r="Q160" s="36" t="str">
        <x:v>ANY</x:v>
      </x:c>
      <x:c r="R160" s="36" t="str">
        <x:v>DIAG_SET|INSTALL_SET|CABLE_PACK</x:v>
      </x:c>
      <x:c r="S160" s="49" t="n">
        <x:v>46251.291666666664</x:v>
      </x:c>
      <x:c r="T160" s="37" t="b">
        <x:v>0</x:v>
      </x:c>
      <x:c r="U160" s="36" t="str">
        <x:v>PENDING</x:v>
      </x:c>
      <x:c r="V160" s="36"/>
      <x:c r="W160" s="36"/>
      <x:c r="X160" s="36" t="str">
        <x:v>needs_geocoding</x:v>
      </x:c>
    </x:row>
    <x:row r="161" ht="15" hidden="0" customHeight="1">
      <x:c r="A161" s="36" t="str">
        <x:v>STRESS</x:v>
      </x:c>
      <x:c r="B161" s="36" t="str">
        <x:v>SOUTHCENTER-6185</x:v>
      </x:c>
      <x:c r="C161" s="36" t="str">
        <x:v>6185</x:v>
      </x:c>
      <x:c r="D161" s="36" t="str">
        <x:v>SOUTHCENTER</x:v>
      </x:c>
      <x:c r="E161" s="36" t="str">
        <x:v>Югоцентр</x:v>
      </x:c>
      <x:c r="F161" s="36" t="str">
        <x:v>Подключение</x:v>
      </x:c>
      <x:c r="G161" s="36" t="str">
        <x:v>Конвергенция абонента</x:v>
      </x:c>
      <x:c r="H161" s="49" t="n">
        <x:v>46251.75</x:v>
      </x:c>
      <x:c r="I161" s="49" t="n">
        <x:v>46251.833333333336</x:v>
      </x:c>
      <x:c r="J161" s="36" t="str">
        <x:v>Зюзино</x:v>
      </x:c>
      <x:c r="K161" s="36" t="str">
        <x:v>Город Москва, пр-кт.Балаклавский, д. 20 к 4</x:v>
      </x:c>
      <x:c r="L161" s="36" t="str"/>
      <x:c r="M161" s="36" t="str">
        <x:v>Нет</x:v>
      </x:c>
      <x:c r="N161" s="36" t="str">
        <x:v>INSTALL</x:v>
      </x:c>
      <x:c r="O161" s="36" t="n">
        <x:v>60</x:v>
      </x:c>
      <x:c r="P161" s="36" t="str">
        <x:v>NORMAL</x:v>
      </x:c>
      <x:c r="Q161" s="36" t="str">
        <x:v>ANY</x:v>
      </x:c>
      <x:c r="R161" s="36" t="str">
        <x:v>DIAG_SET|INSTALL_SET|CABLE_PACK</x:v>
      </x:c>
      <x:c r="S161" s="49" t="n">
        <x:v>46251.291666666664</x:v>
      </x:c>
      <x:c r="T161" s="37" t="b">
        <x:v>0</x:v>
      </x:c>
      <x:c r="U161" s="36" t="str">
        <x:v>PENDING</x:v>
      </x:c>
      <x:c r="V161" s="36"/>
      <x:c r="W161" s="36"/>
      <x:c r="X161" s="36" t="str">
        <x:v>needs_geocoding</x:v>
      </x:c>
    </x:row>
    <x:row r="162" ht="15" hidden="0" customHeight="1">
      <x:c r="A162" s="36" t="str">
        <x:v>STRESS</x:v>
      </x:c>
      <x:c r="B162" s="36" t="str">
        <x:v>SOUTHCENTER-80548</x:v>
      </x:c>
      <x:c r="C162" s="36" t="str">
        <x:v>80548</x:v>
      </x:c>
      <x:c r="D162" s="36" t="str">
        <x:v>SOUTHCENTER</x:v>
      </x:c>
      <x:c r="E162" s="36" t="str">
        <x:v>Югоцентр</x:v>
      </x:c>
      <x:c r="F162" s="36" t="str">
        <x:v>Подключение</x:v>
      </x:c>
      <x:c r="G162" s="36" t="str">
        <x:v>Конвергенция абонента</x:v>
      </x:c>
      <x:c r="H162" s="49" t="n">
        <x:v>46251.666666666664</x:v>
      </x:c>
      <x:c r="I162" s="49" t="n">
        <x:v>46251.75</x:v>
      </x:c>
      <x:c r="J162" s="36" t="str">
        <x:v>Нагатино - Садовники</x:v>
      </x:c>
      <x:c r="K162" s="36" t="str">
        <x:v>Город Москва, ул.Садовники, д. 10 к 1</x:v>
      </x:c>
      <x:c r="L162" s="36" t="str"/>
      <x:c r="M162" s="36" t="str">
        <x:v>Нет</x:v>
      </x:c>
      <x:c r="N162" s="36" t="str">
        <x:v>INSTALL</x:v>
      </x:c>
      <x:c r="O162" s="36" t="n">
        <x:v>60</x:v>
      </x:c>
      <x:c r="P162" s="36" t="str">
        <x:v>NORMAL</x:v>
      </x:c>
      <x:c r="Q162" s="36" t="str">
        <x:v>ANY</x:v>
      </x:c>
      <x:c r="R162" s="36" t="str">
        <x:v>DIAG_SET|INSTALL_SET|CABLE_PACK</x:v>
      </x:c>
      <x:c r="S162" s="49" t="n">
        <x:v>46251.291666666664</x:v>
      </x:c>
      <x:c r="T162" s="37" t="b">
        <x:v>0</x:v>
      </x:c>
      <x:c r="U162" s="36" t="str">
        <x:v>PENDING</x:v>
      </x:c>
      <x:c r="V162" s="36"/>
      <x:c r="W162" s="36"/>
      <x:c r="X162" s="36" t="str">
        <x:v>needs_geocoding</x:v>
      </x:c>
    </x:row>
    <x:row r="163" ht="15" hidden="0" customHeight="1">
      <x:c r="A163" s="36" t="str">
        <x:v>STRESS</x:v>
      </x:c>
      <x:c r="B163" s="36" t="str">
        <x:v>SOUTHCENTER-76452</x:v>
      </x:c>
      <x:c r="C163" s="36" t="str">
        <x:v>76452</x:v>
      </x:c>
      <x:c r="D163" s="36" t="str">
        <x:v>SOUTHCENTER</x:v>
      </x:c>
      <x:c r="E163" s="36" t="str">
        <x:v>Югоцентр</x:v>
      </x:c>
      <x:c r="F163" s="36" t="str">
        <x:v>Подключение</x:v>
      </x:c>
      <x:c r="G163" s="36" t="str">
        <x:v>Конвергенция абонента</x:v>
      </x:c>
      <x:c r="H163" s="49" t="n">
        <x:v>46251.5</x:v>
      </x:c>
      <x:c r="I163" s="49" t="n">
        <x:v>46251.583333333336</x:v>
      </x:c>
      <x:c r="J163" s="36" t="str">
        <x:v>Зюзино</x:v>
      </x:c>
      <x:c r="K163" s="36" t="str">
        <x:v>Город Москва, ул.Каховка, д. 7 к 1</x:v>
      </x:c>
      <x:c r="L163" s="36" t="str"/>
      <x:c r="M163" s="36" t="str">
        <x:v>Нет</x:v>
      </x:c>
      <x:c r="N163" s="36" t="str">
        <x:v>INSTALL</x:v>
      </x:c>
      <x:c r="O163" s="36" t="n">
        <x:v>60</x:v>
      </x:c>
      <x:c r="P163" s="36" t="str">
        <x:v>NORMAL</x:v>
      </x:c>
      <x:c r="Q163" s="36" t="str">
        <x:v>ANY</x:v>
      </x:c>
      <x:c r="R163" s="36" t="str">
        <x:v>DIAG_SET|INSTALL_SET|CABLE_PACK</x:v>
      </x:c>
      <x:c r="S163" s="49" t="n">
        <x:v>46251.291666666664</x:v>
      </x:c>
      <x:c r="T163" s="37" t="b">
        <x:v>0</x:v>
      </x:c>
      <x:c r="U163" s="36" t="str">
        <x:v>PENDING</x:v>
      </x:c>
      <x:c r="V163" s="36"/>
      <x:c r="W163" s="36"/>
      <x:c r="X163" s="36" t="str">
        <x:v>needs_geocoding</x:v>
      </x:c>
    </x:row>
    <x:row r="164" ht="15" hidden="0" customHeight="1">
      <x:c r="A164" s="36" t="str">
        <x:v>STRESS</x:v>
      </x:c>
      <x:c r="B164" s="36" t="str">
        <x:v>SOUTHCENTER-47560</x:v>
      </x:c>
      <x:c r="C164" s="36" t="str">
        <x:v>47560</x:v>
      </x:c>
      <x:c r="D164" s="36" t="str">
        <x:v>SOUTHCENTER</x:v>
      </x:c>
      <x:c r="E164" s="36" t="str">
        <x:v>Югоцентр</x:v>
      </x:c>
      <x:c r="F164" s="36" t="str">
        <x:v>Подключение</x:v>
      </x:c>
      <x:c r="G164" s="36" t="str">
        <x:v>Конвергенция абонента</x:v>
      </x:c>
      <x:c r="H164" s="49" t="n">
        <x:v>46251.666666666664</x:v>
      </x:c>
      <x:c r="I164" s="49" t="n">
        <x:v>46251.75</x:v>
      </x:c>
      <x:c r="J164" s="36" t="str">
        <x:v>Замоскворечье</x:v>
      </x:c>
      <x:c r="K164" s="36" t="str">
        <x:v>Город Москва, ул.Большая Пионерская, д. 33 к 2</x:v>
      </x:c>
      <x:c r="L164" s="36" t="str"/>
      <x:c r="M164" s="36" t="str">
        <x:v>Нет</x:v>
      </x:c>
      <x:c r="N164" s="36" t="str">
        <x:v>INSTALL</x:v>
      </x:c>
      <x:c r="O164" s="36" t="n">
        <x:v>60</x:v>
      </x:c>
      <x:c r="P164" s="36" t="str">
        <x:v>NORMAL</x:v>
      </x:c>
      <x:c r="Q164" s="36" t="str">
        <x:v>ANY</x:v>
      </x:c>
      <x:c r="R164" s="36" t="str">
        <x:v>DIAG_SET|INSTALL_SET|CABLE_PACK</x:v>
      </x:c>
      <x:c r="S164" s="49" t="n">
        <x:v>46251.291666666664</x:v>
      </x:c>
      <x:c r="T164" s="37" t="b">
        <x:v>0</x:v>
      </x:c>
      <x:c r="U164" s="36" t="str">
        <x:v>PENDING</x:v>
      </x:c>
      <x:c r="V164" s="36"/>
      <x:c r="W164" s="36"/>
      <x:c r="X164" s="36" t="str">
        <x:v>needs_geocoding</x:v>
      </x:c>
    </x:row>
    <x:row r="165" ht="15" hidden="0" customHeight="1">
      <x:c r="A165" s="36" t="str">
        <x:v>STRESS</x:v>
      </x:c>
      <x:c r="B165" s="36" t="str">
        <x:v>SOUTHCENTER-79707</x:v>
      </x:c>
      <x:c r="C165" s="36" t="str">
        <x:v>79707</x:v>
      </x:c>
      <x:c r="D165" s="36" t="str">
        <x:v>SOUTHCENTER</x:v>
      </x:c>
      <x:c r="E165" s="36" t="str">
        <x:v>Югоцентр</x:v>
      </x:c>
      <x:c r="F165" s="36" t="str">
        <x:v>Подключение</x:v>
      </x:c>
      <x:c r="G165" s="36" t="str">
        <x:v>Конвергенция абонента</x:v>
      </x:c>
      <x:c r="H165" s="49" t="n">
        <x:v>46251.416666666664</x:v>
      </x:c>
      <x:c r="I165" s="49" t="n">
        <x:v>46251.5</x:v>
      </x:c>
      <x:c r="J165" s="36" t="str">
        <x:v>Хамовники</x:v>
      </x:c>
      <x:c r="K165" s="36" t="str">
        <x:v>Город Москва, ул.Плющиха, д. 42</x:v>
      </x:c>
      <x:c r="L165" s="36" t="str"/>
      <x:c r="M165" s="36" t="str">
        <x:v>Нет</x:v>
      </x:c>
      <x:c r="N165" s="36" t="str">
        <x:v>INSTALL</x:v>
      </x:c>
      <x:c r="O165" s="36" t="n">
        <x:v>60</x:v>
      </x:c>
      <x:c r="P165" s="36" t="str">
        <x:v>NORMAL</x:v>
      </x:c>
      <x:c r="Q165" s="36" t="str">
        <x:v>ANY</x:v>
      </x:c>
      <x:c r="R165" s="36" t="str">
        <x:v>DIAG_SET|INSTALL_SET|CABLE_PACK</x:v>
      </x:c>
      <x:c r="S165" s="49" t="n">
        <x:v>46251.291666666664</x:v>
      </x:c>
      <x:c r="T165" s="37" t="b">
        <x:v>0</x:v>
      </x:c>
      <x:c r="U165" s="36" t="str">
        <x:v>PENDING</x:v>
      </x:c>
      <x:c r="V165" s="36"/>
      <x:c r="W165" s="36"/>
      <x:c r="X165" s="36" t="str">
        <x:v>needs_geocoding</x:v>
      </x:c>
    </x:row>
    <x:row r="166" ht="15" hidden="0" customHeight="1">
      <x:c r="A166" s="36" t="str">
        <x:v>STRESS</x:v>
      </x:c>
      <x:c r="B166" s="36" t="str">
        <x:v>SOUTHCENTER-23142</x:v>
      </x:c>
      <x:c r="C166" s="36" t="str">
        <x:v>23142</x:v>
      </x:c>
      <x:c r="D166" s="36" t="str">
        <x:v>SOUTHCENTER</x:v>
      </x:c>
      <x:c r="E166" s="36" t="str">
        <x:v>Югоцентр</x:v>
      </x:c>
      <x:c r="F166" s="36" t="str">
        <x:v>Подключение</x:v>
      </x:c>
      <x:c r="G166" s="36" t="str">
        <x:v>Конвергенция абонента</x:v>
      </x:c>
      <x:c r="H166" s="49" t="n">
        <x:v>46251.416666666664</x:v>
      </x:c>
      <x:c r="I166" s="49" t="n">
        <x:v>46251.5</x:v>
      </x:c>
      <x:c r="J166" s="36" t="str">
        <x:v>Нагатинский Затон</x:v>
      </x:c>
      <x:c r="K166" s="36" t="str">
        <x:v>Город Москва, ул.Судостроительная, д. 31 к 3</x:v>
      </x:c>
      <x:c r="L166" s="36" t="str"/>
      <x:c r="M166" s="36" t="str">
        <x:v>Нет</x:v>
      </x:c>
      <x:c r="N166" s="36" t="str">
        <x:v>INSTALL</x:v>
      </x:c>
      <x:c r="O166" s="36" t="n">
        <x:v>60</x:v>
      </x:c>
      <x:c r="P166" s="36" t="str">
        <x:v>NORMAL</x:v>
      </x:c>
      <x:c r="Q166" s="36" t="str">
        <x:v>ANY</x:v>
      </x:c>
      <x:c r="R166" s="36" t="str">
        <x:v>DIAG_SET|INSTALL_SET|CABLE_PACK</x:v>
      </x:c>
      <x:c r="S166" s="49" t="n">
        <x:v>46251.291666666664</x:v>
      </x:c>
      <x:c r="T166" s="37" t="b">
        <x:v>0</x:v>
      </x:c>
      <x:c r="U166" s="36" t="str">
        <x:v>PENDING</x:v>
      </x:c>
      <x:c r="V166" s="36"/>
      <x:c r="W166" s="36"/>
      <x:c r="X166" s="36" t="str">
        <x:v>needs_geocoding</x:v>
      </x:c>
    </x:row>
    <x:row r="167" ht="15" hidden="0" customHeight="1">
      <x:c r="A167" s="36" t="str">
        <x:v>STRESS</x:v>
      </x:c>
      <x:c r="B167" s="36" t="str">
        <x:v>SOUTHCENTER-10776</x:v>
      </x:c>
      <x:c r="C167" s="36" t="str">
        <x:v>10776</x:v>
      </x:c>
      <x:c r="D167" s="36" t="str">
        <x:v>SOUTHCENTER</x:v>
      </x:c>
      <x:c r="E167" s="36" t="str">
        <x:v>Югоцентр</x:v>
      </x:c>
      <x:c r="F167" s="36" t="str">
        <x:v>Подключение</x:v>
      </x:c>
      <x:c r="G167" s="36" t="str">
        <x:v>Конвергенция абонента</x:v>
      </x:c>
      <x:c r="H167" s="49" t="n">
        <x:v>46251.5</x:v>
      </x:c>
      <x:c r="I167" s="49" t="n">
        <x:v>46251.583333333336</x:v>
      </x:c>
      <x:c r="J167" s="36" t="str">
        <x:v>Нагатинский Затон</x:v>
      </x:c>
      <x:c r="K167" s="36" t="str">
        <x:v>Город Москва, ул.Судостроительная, д. 36</x:v>
      </x:c>
      <x:c r="L167" s="36" t="str"/>
      <x:c r="M167" s="36" t="str">
        <x:v>Нет</x:v>
      </x:c>
      <x:c r="N167" s="36" t="str">
        <x:v>INSTALL</x:v>
      </x:c>
      <x:c r="O167" s="36" t="n">
        <x:v>60</x:v>
      </x:c>
      <x:c r="P167" s="36" t="str">
        <x:v>NORMAL</x:v>
      </x:c>
      <x:c r="Q167" s="36" t="str">
        <x:v>ANY</x:v>
      </x:c>
      <x:c r="R167" s="36" t="str">
        <x:v>DIAG_SET|INSTALL_SET|CABLE_PACK</x:v>
      </x:c>
      <x:c r="S167" s="49" t="n">
        <x:v>46251.291666666664</x:v>
      </x:c>
      <x:c r="T167" s="37" t="b">
        <x:v>0</x:v>
      </x:c>
      <x:c r="U167" s="36" t="str">
        <x:v>PENDING</x:v>
      </x:c>
      <x:c r="V167" s="36"/>
      <x:c r="W167" s="36"/>
      <x:c r="X167" s="36" t="str">
        <x:v>needs_geocoding</x:v>
      </x:c>
    </x:row>
    <x:row r="168" ht="15" hidden="0" customHeight="1">
      <x:c r="A168" s="36" t="str">
        <x:v>STRESS</x:v>
      </x:c>
      <x:c r="B168" s="36" t="str">
        <x:v>SOUTHCENTER-94447</x:v>
      </x:c>
      <x:c r="C168" s="36" t="str">
        <x:v>94447</x:v>
      </x:c>
      <x:c r="D168" s="36" t="str">
        <x:v>SOUTHCENTER</x:v>
      </x:c>
      <x:c r="E168" s="36" t="str">
        <x:v>Югоцентр</x:v>
      </x:c>
      <x:c r="F168" s="36" t="str">
        <x:v>Подключение</x:v>
      </x:c>
      <x:c r="G168" s="36" t="str">
        <x:v>Заказ подключения/Дозаказ оборудования</x:v>
      </x:c>
      <x:c r="H168" s="49" t="n">
        <x:v>46251.416666666664</x:v>
      </x:c>
      <x:c r="I168" s="49" t="n">
        <x:v>46251.5</x:v>
      </x:c>
      <x:c r="J168" s="36" t="str">
        <x:v>Нагатинский Затон</x:v>
      </x:c>
      <x:c r="K168" s="36" t="str">
        <x:v>Город Москва, ул.Затонная, д. 11 к 3</x:v>
      </x:c>
      <x:c r="L168" s="36" t="str"/>
      <x:c r="M168" s="36" t="str">
        <x:v>Нет</x:v>
      </x:c>
      <x:c r="N168" s="36" t="str">
        <x:v>INSTALL</x:v>
      </x:c>
      <x:c r="O168" s="36" t="n">
        <x:v>75</x:v>
      </x:c>
      <x:c r="P168" s="36" t="str">
        <x:v>NORMAL</x:v>
      </x:c>
      <x:c r="Q168" s="36" t="str">
        <x:v>ANY</x:v>
      </x:c>
      <x:c r="R168" s="36" t="str">
        <x:v>DIAG_SET|INSTALL_SET|CABLE_PACK</x:v>
      </x:c>
      <x:c r="S168" s="49" t="n">
        <x:v>46251.291666666664</x:v>
      </x:c>
      <x:c r="T168" s="37" t="b">
        <x:v>0</x:v>
      </x:c>
      <x:c r="U168" s="36" t="str">
        <x:v>PENDING</x:v>
      </x:c>
      <x:c r="V168" s="36"/>
      <x:c r="W168" s="36"/>
      <x:c r="X168" s="36" t="str">
        <x:v>needs_geocoding</x:v>
      </x:c>
    </x:row>
    <x:row r="169" ht="15" hidden="0" customHeight="1">
      <x:c r="A169" s="36" t="str">
        <x:v>STRESS</x:v>
      </x:c>
      <x:c r="B169" s="36" t="str">
        <x:v>SOUTHCENTER-94575</x:v>
      </x:c>
      <x:c r="C169" s="36" t="str">
        <x:v>94575</x:v>
      </x:c>
      <x:c r="D169" s="36" t="str">
        <x:v>SOUTHCENTER</x:v>
      </x:c>
      <x:c r="E169" s="36" t="str">
        <x:v>Югоцентр</x:v>
      </x:c>
      <x:c r="F169" s="36" t="str">
        <x:v>Подключение</x:v>
      </x:c>
      <x:c r="G169" s="36" t="str">
        <x:v>Конвергенция абонента</x:v>
      </x:c>
      <x:c r="H169" s="49" t="n">
        <x:v>46251.75</x:v>
      </x:c>
      <x:c r="I169" s="49" t="n">
        <x:v>46251.833333333336</x:v>
      </x:c>
      <x:c r="J169" s="36" t="str">
        <x:v>Даниловский</x:v>
      </x:c>
      <x:c r="K169" s="36" t="str">
        <x:v>Город Москва, ул.Автозаводская, д. 11</x:v>
      </x:c>
      <x:c r="L169" s="36" t="str"/>
      <x:c r="M169" s="36" t="str">
        <x:v>Нет</x:v>
      </x:c>
      <x:c r="N169" s="36" t="str">
        <x:v>INSTALL</x:v>
      </x:c>
      <x:c r="O169" s="36" t="n">
        <x:v>60</x:v>
      </x:c>
      <x:c r="P169" s="36" t="str">
        <x:v>NORMAL</x:v>
      </x:c>
      <x:c r="Q169" s="36" t="str">
        <x:v>ANY</x:v>
      </x:c>
      <x:c r="R169" s="36" t="str">
        <x:v>DIAG_SET|INSTALL_SET|CABLE_PACK</x:v>
      </x:c>
      <x:c r="S169" s="49" t="n">
        <x:v>46251.291666666664</x:v>
      </x:c>
      <x:c r="T169" s="37" t="b">
        <x:v>0</x:v>
      </x:c>
      <x:c r="U169" s="36" t="str">
        <x:v>PENDING</x:v>
      </x:c>
      <x:c r="V169" s="36"/>
      <x:c r="W169" s="36"/>
      <x:c r="X169" s="36" t="str">
        <x:v>needs_geocoding</x:v>
      </x:c>
    </x:row>
    <x:row r="170" ht="15" hidden="0" customHeight="1">
      <x:c r="A170" s="36" t="str">
        <x:v>STRESS</x:v>
      </x:c>
      <x:c r="B170" s="36" t="str">
        <x:v>SOUTHCENTER-94431</x:v>
      </x:c>
      <x:c r="C170" s="36" t="str">
        <x:v>94431</x:v>
      </x:c>
      <x:c r="D170" s="36" t="str">
        <x:v>SOUTHCENTER</x:v>
      </x:c>
      <x:c r="E170" s="36" t="str">
        <x:v>Югоцентр</x:v>
      </x:c>
      <x:c r="F170" s="36" t="str">
        <x:v>Подключение</x:v>
      </x:c>
      <x:c r="G170" s="36" t="str">
        <x:v>Конвергенция абонента</x:v>
      </x:c>
      <x:c r="H170" s="49" t="n">
        <x:v>46251.416666666664</x:v>
      </x:c>
      <x:c r="I170" s="49" t="n">
        <x:v>46251.5</x:v>
      </x:c>
      <x:c r="J170" s="36" t="str">
        <x:v>Академический</x:v>
      </x:c>
      <x:c r="K170" s="36" t="str">
        <x:v>Город Москва, ул.Шверника, д. 12/2 к 3</x:v>
      </x:c>
      <x:c r="L170" s="36" t="str"/>
      <x:c r="M170" s="36" t="str">
        <x:v>Нет</x:v>
      </x:c>
      <x:c r="N170" s="36" t="str">
        <x:v>INSTALL</x:v>
      </x:c>
      <x:c r="O170" s="36" t="n">
        <x:v>60</x:v>
      </x:c>
      <x:c r="P170" s="36" t="str">
        <x:v>NORMAL</x:v>
      </x:c>
      <x:c r="Q170" s="36" t="str">
        <x:v>ANY</x:v>
      </x:c>
      <x:c r="R170" s="36" t="str">
        <x:v>DIAG_SET|INSTALL_SET|CABLE_PACK</x:v>
      </x:c>
      <x:c r="S170" s="49" t="n">
        <x:v>46251.291666666664</x:v>
      </x:c>
      <x:c r="T170" s="37" t="b">
        <x:v>0</x:v>
      </x:c>
      <x:c r="U170" s="36" t="str">
        <x:v>PENDING</x:v>
      </x:c>
      <x:c r="V170" s="36"/>
      <x:c r="W170" s="36"/>
      <x:c r="X170" s="36" t="str">
        <x:v>needs_geocoding</x:v>
      </x:c>
    </x:row>
    <x:row r="171" ht="15" hidden="0" customHeight="1">
      <x:c r="A171" s="36" t="str">
        <x:v>STRESS</x:v>
      </x:c>
      <x:c r="B171" s="36" t="str">
        <x:v>SOUTHCENTER-52576</x:v>
      </x:c>
      <x:c r="C171" s="36" t="str">
        <x:v>52576</x:v>
      </x:c>
      <x:c r="D171" s="36" t="str">
        <x:v>SOUTHCENTER</x:v>
      </x:c>
      <x:c r="E171" s="36" t="str">
        <x:v>Югоцентр</x:v>
      </x:c>
      <x:c r="F171" s="36" t="str">
        <x:v>Подключение</x:v>
      </x:c>
      <x:c r="G171" s="36" t="str">
        <x:v>Заявка на подключение</x:v>
      </x:c>
      <x:c r="H171" s="49" t="n">
        <x:v>46251.833333333336</x:v>
      </x:c>
      <x:c r="I171" s="49" t="n">
        <x:v>46251.916666666664</x:v>
      </x:c>
      <x:c r="J171" s="36" t="str">
        <x:v>Нагатинский Затон</x:v>
      </x:c>
      <x:c r="K171" s="36" t="str">
        <x:v>Город Москва, ул.Судостроительная, д. 27 к 2</x:v>
      </x:c>
      <x:c r="L171" s="36" t="str"/>
      <x:c r="M171" s="36" t="str">
        <x:v>Нет</x:v>
      </x:c>
      <x:c r="N171" s="36" t="str">
        <x:v>INSTALL</x:v>
      </x:c>
      <x:c r="O171" s="36" t="n">
        <x:v>90</x:v>
      </x:c>
      <x:c r="P171" s="36" t="str">
        <x:v>NORMAL</x:v>
      </x:c>
      <x:c r="Q171" s="36" t="str">
        <x:v>ANY</x:v>
      </x:c>
      <x:c r="R171" s="36" t="str">
        <x:v>DIAG_SET|INSTALL_SET|CABLE_PACK</x:v>
      </x:c>
      <x:c r="S171" s="49" t="n">
        <x:v>46251.291666666664</x:v>
      </x:c>
      <x:c r="T171" s="37" t="b">
        <x:v>0</x:v>
      </x:c>
      <x:c r="U171" s="36" t="str">
        <x:v>PENDING</x:v>
      </x:c>
      <x:c r="V171" s="36"/>
      <x:c r="W171" s="36"/>
      <x:c r="X171" s="36" t="str">
        <x:v>needs_geocoding</x:v>
      </x:c>
    </x:row>
    <x:row r="172" ht="15" hidden="0" customHeight="1">
      <x:c r="A172" s="36" t="str">
        <x:v>STRESS</x:v>
      </x:c>
      <x:c r="B172" s="36" t="str">
        <x:v>SOUTHCENTER-66315</x:v>
      </x:c>
      <x:c r="C172" s="36" t="str">
        <x:v>66315</x:v>
      </x:c>
      <x:c r="D172" s="36" t="str">
        <x:v>SOUTHCENTER</x:v>
      </x:c>
      <x:c r="E172" s="36" t="str">
        <x:v>Югоцентр</x:v>
      </x:c>
      <x:c r="F172" s="36" t="str">
        <x:v>Подключение</x:v>
      </x:c>
      <x:c r="G172" s="36" t="str">
        <x:v>Конвергенция абонента</x:v>
      </x:c>
      <x:c r="H172" s="49" t="n">
        <x:v>46251.666666666664</x:v>
      </x:c>
      <x:c r="I172" s="49" t="n">
        <x:v>46251.75</x:v>
      </x:c>
      <x:c r="J172" s="36" t="str">
        <x:v>Академический</x:v>
      </x:c>
      <x:c r="K172" s="36" t="str">
        <x:v>Город Москва, ул.Шверника, д. 3</x:v>
      </x:c>
      <x:c r="L172" s="36" t="str"/>
      <x:c r="M172" s="36" t="str">
        <x:v>Нет</x:v>
      </x:c>
      <x:c r="N172" s="36" t="str">
        <x:v>INSTALL</x:v>
      </x:c>
      <x:c r="O172" s="36" t="n">
        <x:v>60</x:v>
      </x:c>
      <x:c r="P172" s="36" t="str">
        <x:v>NORMAL</x:v>
      </x:c>
      <x:c r="Q172" s="36" t="str">
        <x:v>ANY</x:v>
      </x:c>
      <x:c r="R172" s="36" t="str">
        <x:v>DIAG_SET|INSTALL_SET|CABLE_PACK</x:v>
      </x:c>
      <x:c r="S172" s="49" t="n">
        <x:v>46251.291666666664</x:v>
      </x:c>
      <x:c r="T172" s="37" t="b">
        <x:v>0</x:v>
      </x:c>
      <x:c r="U172" s="36" t="str">
        <x:v>PENDING</x:v>
      </x:c>
      <x:c r="V172" s="36"/>
      <x:c r="W172" s="36"/>
      <x:c r="X172" s="36" t="str">
        <x:v>needs_geocoding</x:v>
      </x:c>
    </x:row>
    <x:row r="173" ht="15" hidden="0" customHeight="1">
      <x:c r="A173" s="36" t="str">
        <x:v>STRESS</x:v>
      </x:c>
      <x:c r="B173" s="36" t="str">
        <x:v>SOUTHCENTER-93544</x:v>
      </x:c>
      <x:c r="C173" s="36" t="str">
        <x:v>93544</x:v>
      </x:c>
      <x:c r="D173" s="36" t="str">
        <x:v>SOUTHCENTER</x:v>
      </x:c>
      <x:c r="E173" s="36" t="str">
        <x:v>Югоцентр</x:v>
      </x:c>
      <x:c r="F173" s="36" t="str">
        <x:v>Подключение</x:v>
      </x:c>
      <x:c r="G173" s="36" t="str">
        <x:v>Конвергенция абонента</x:v>
      </x:c>
      <x:c r="H173" s="49" t="n">
        <x:v>46251.5</x:v>
      </x:c>
      <x:c r="I173" s="49" t="n">
        <x:v>46251.583333333336</x:v>
      </x:c>
      <x:c r="J173" s="36" t="str">
        <x:v>Зюзино</x:v>
      </x:c>
      <x:c r="K173" s="36" t="str">
        <x:v>Город Москва, б-р.Черноморский, д. 19 к 2</x:v>
      </x:c>
      <x:c r="L173" s="36" t="str"/>
      <x:c r="M173" s="36" t="str">
        <x:v>Нет</x:v>
      </x:c>
      <x:c r="N173" s="36" t="str">
        <x:v>INSTALL</x:v>
      </x:c>
      <x:c r="O173" s="36" t="n">
        <x:v>60</x:v>
      </x:c>
      <x:c r="P173" s="36" t="str">
        <x:v>NORMAL</x:v>
      </x:c>
      <x:c r="Q173" s="36" t="str">
        <x:v>ANY</x:v>
      </x:c>
      <x:c r="R173" s="36" t="str">
        <x:v>DIAG_SET|INSTALL_SET|CABLE_PACK</x:v>
      </x:c>
      <x:c r="S173" s="49" t="n">
        <x:v>46251.291666666664</x:v>
      </x:c>
      <x:c r="T173" s="37" t="b">
        <x:v>0</x:v>
      </x:c>
      <x:c r="U173" s="36" t="str">
        <x:v>PENDING</x:v>
      </x:c>
      <x:c r="V173" s="36"/>
      <x:c r="W173" s="36"/>
      <x:c r="X173" s="36" t="str">
        <x:v>needs_geocoding</x:v>
      </x:c>
    </x:row>
    <x:row r="174" ht="15" hidden="0" customHeight="1">
      <x:c r="A174" s="36" t="str">
        <x:v>STRESS</x:v>
      </x:c>
      <x:c r="B174" s="36" t="str">
        <x:v>SOUTHCENTER-19203</x:v>
      </x:c>
      <x:c r="C174" s="36" t="str">
        <x:v>19203</x:v>
      </x:c>
      <x:c r="D174" s="36" t="str">
        <x:v>SOUTHCENTER</x:v>
      </x:c>
      <x:c r="E174" s="36" t="str">
        <x:v>Югоцентр</x:v>
      </x:c>
      <x:c r="F174" s="36" t="str">
        <x:v>Подключение</x:v>
      </x:c>
      <x:c r="G174" s="36" t="str">
        <x:v>Конвергенция абонента</x:v>
      </x:c>
      <x:c r="H174" s="49" t="n">
        <x:v>46251.5</x:v>
      </x:c>
      <x:c r="I174" s="49" t="n">
        <x:v>46251.583333333336</x:v>
      </x:c>
      <x:c r="J174" s="36" t="str">
        <x:v>Зюзино</x:v>
      </x:c>
      <x:c r="K174" s="36" t="str">
        <x:v>Город Москва, ул.Керченская, д. 6 к 2</x:v>
      </x:c>
      <x:c r="L174" s="36" t="str"/>
      <x:c r="M174" s="36" t="str">
        <x:v>Нет</x:v>
      </x:c>
      <x:c r="N174" s="36" t="str">
        <x:v>INSTALL</x:v>
      </x:c>
      <x:c r="O174" s="36" t="n">
        <x:v>60</x:v>
      </x:c>
      <x:c r="P174" s="36" t="str">
        <x:v>NORMAL</x:v>
      </x:c>
      <x:c r="Q174" s="36" t="str">
        <x:v>ANY</x:v>
      </x:c>
      <x:c r="R174" s="36" t="str">
        <x:v>DIAG_SET|INSTALL_SET|CABLE_PACK</x:v>
      </x:c>
      <x:c r="S174" s="49" t="n">
        <x:v>46251.291666666664</x:v>
      </x:c>
      <x:c r="T174" s="37" t="b">
        <x:v>0</x:v>
      </x:c>
      <x:c r="U174" s="36" t="str">
        <x:v>PENDING</x:v>
      </x:c>
      <x:c r="V174" s="36"/>
      <x:c r="W174" s="36"/>
      <x:c r="X174" s="36" t="str">
        <x:v>needs_geocoding</x:v>
      </x:c>
    </x:row>
    <x:row r="175" ht="15" hidden="0" customHeight="1">
      <x:c r="A175" s="36" t="str">
        <x:v>STRESS</x:v>
      </x:c>
      <x:c r="B175" s="36" t="str">
        <x:v>SOUTHCENTER-16024</x:v>
      </x:c>
      <x:c r="C175" s="36" t="str">
        <x:v>16024</x:v>
      </x:c>
      <x:c r="D175" s="36" t="str">
        <x:v>SOUTHCENTER</x:v>
      </x:c>
      <x:c r="E175" s="36" t="str">
        <x:v>Югоцентр</x:v>
      </x:c>
      <x:c r="F175" s="36" t="str">
        <x:v>Подключение</x:v>
      </x:c>
      <x:c r="G175" s="36" t="str">
        <x:v>Заявка на подключение</x:v>
      </x:c>
      <x:c r="H175" s="49" t="n">
        <x:v>46251.416666666664</x:v>
      </x:c>
      <x:c r="I175" s="49" t="n">
        <x:v>46251.5</x:v>
      </x:c>
      <x:c r="J175" s="36" t="str">
        <x:v>Нагатинский Затон</x:v>
      </x:c>
      <x:c r="K175" s="36" t="str">
        <x:v>Город Москва, б-р.Кленовый, д. 10 к 1</x:v>
      </x:c>
      <x:c r="L175" s="36" t="str"/>
      <x:c r="M175" s="36" t="str">
        <x:v>Нет</x:v>
      </x:c>
      <x:c r="N175" s="36" t="str">
        <x:v>INSTALL</x:v>
      </x:c>
      <x:c r="O175" s="36" t="n">
        <x:v>90</x:v>
      </x:c>
      <x:c r="P175" s="36" t="str">
        <x:v>NORMAL</x:v>
      </x:c>
      <x:c r="Q175" s="36" t="str">
        <x:v>ANY</x:v>
      </x:c>
      <x:c r="R175" s="36" t="str">
        <x:v>DIAG_SET|INSTALL_SET|CABLE_PACK</x:v>
      </x:c>
      <x:c r="S175" s="49" t="n">
        <x:v>46251.291666666664</x:v>
      </x:c>
      <x:c r="T175" s="37" t="b">
        <x:v>0</x:v>
      </x:c>
      <x:c r="U175" s="36" t="str">
        <x:v>PENDING</x:v>
      </x:c>
      <x:c r="V175" s="36"/>
      <x:c r="W175" s="36"/>
      <x:c r="X175" s="36" t="str">
        <x:v>needs_geocoding</x:v>
      </x:c>
    </x:row>
    <x:row r="176" ht="15" hidden="0" customHeight="1">
      <x:c r="A176" s="36" t="str">
        <x:v>STRESS</x:v>
      </x:c>
      <x:c r="B176" s="36" t="str">
        <x:v>SOUTHCENTER-90373</x:v>
      </x:c>
      <x:c r="C176" s="36" t="str">
        <x:v>90373</x:v>
      </x:c>
      <x:c r="D176" s="36" t="str">
        <x:v>SOUTHCENTER</x:v>
      </x:c>
      <x:c r="E176" s="36" t="str">
        <x:v>Югоцентр</x:v>
      </x:c>
      <x:c r="F176" s="36" t="str">
        <x:v>Подключение</x:v>
      </x:c>
      <x:c r="G176" s="36" t="str">
        <x:v>Конвергенция абонента</x:v>
      </x:c>
      <x:c r="H176" s="49" t="n">
        <x:v>46251.5</x:v>
      </x:c>
      <x:c r="I176" s="49" t="n">
        <x:v>46251.583333333336</x:v>
      </x:c>
      <x:c r="J176" s="36" t="str">
        <x:v>Нагатинский Затон</x:v>
      </x:c>
      <x:c r="K176" s="36" t="str">
        <x:v>Город Москва, ул.Коломенская, д. 5</x:v>
      </x:c>
      <x:c r="L176" s="36" t="str"/>
      <x:c r="M176" s="36" t="str">
        <x:v>Нет</x:v>
      </x:c>
      <x:c r="N176" s="36" t="str">
        <x:v>INSTALL</x:v>
      </x:c>
      <x:c r="O176" s="36" t="n">
        <x:v>60</x:v>
      </x:c>
      <x:c r="P176" s="36" t="str">
        <x:v>NORMAL</x:v>
      </x:c>
      <x:c r="Q176" s="36" t="str">
        <x:v>ANY</x:v>
      </x:c>
      <x:c r="R176" s="36" t="str">
        <x:v>DIAG_SET|INSTALL_SET|CABLE_PACK</x:v>
      </x:c>
      <x:c r="S176" s="49" t="n">
        <x:v>46251.291666666664</x:v>
      </x:c>
      <x:c r="T176" s="37" t="b">
        <x:v>0</x:v>
      </x:c>
      <x:c r="U176" s="36" t="str">
        <x:v>PENDING</x:v>
      </x:c>
      <x:c r="V176" s="36"/>
      <x:c r="W176" s="36"/>
      <x:c r="X176" s="36" t="str">
        <x:v>needs_geocoding</x:v>
      </x:c>
    </x:row>
    <x:row r="177" ht="15" hidden="0" customHeight="1">
      <x:c r="A177" s="36" t="str">
        <x:v>STRESS</x:v>
      </x:c>
      <x:c r="B177" s="36" t="str">
        <x:v>SOUTHCENTER-79719</x:v>
      </x:c>
      <x:c r="C177" s="36" t="str">
        <x:v>79719</x:v>
      </x:c>
      <x:c r="D177" s="36" t="str">
        <x:v>SOUTHCENTER</x:v>
      </x:c>
      <x:c r="E177" s="36" t="str">
        <x:v>Югоцентр</x:v>
      </x:c>
      <x:c r="F177" s="36" t="str">
        <x:v>Подключение</x:v>
      </x:c>
      <x:c r="G177" s="36" t="str">
        <x:v>Заказ подключения/Дозаказ оборудования</x:v>
      </x:c>
      <x:c r="H177" s="49" t="n">
        <x:v>46251.5</x:v>
      </x:c>
      <x:c r="I177" s="49" t="n">
        <x:v>46251.583333333336</x:v>
      </x:c>
      <x:c r="J177" s="36" t="str">
        <x:v>Хамовники</x:v>
      </x:c>
      <x:c r="K177" s="36" t="str">
        <x:v>Город Москва, б-р.Смоленский, д. 17 стр. 1</x:v>
      </x:c>
      <x:c r="L177" s="36" t="str"/>
      <x:c r="M177" s="36" t="str">
        <x:v>Нет</x:v>
      </x:c>
      <x:c r="N177" s="36" t="str">
        <x:v>INSTALL</x:v>
      </x:c>
      <x:c r="O177" s="36" t="n">
        <x:v>75</x:v>
      </x:c>
      <x:c r="P177" s="36" t="str">
        <x:v>NORMAL</x:v>
      </x:c>
      <x:c r="Q177" s="36" t="str">
        <x:v>ANY</x:v>
      </x:c>
      <x:c r="R177" s="36" t="str">
        <x:v>DIAG_SET|INSTALL_SET|CABLE_PACK</x:v>
      </x:c>
      <x:c r="S177" s="49" t="n">
        <x:v>46251.291666666664</x:v>
      </x:c>
      <x:c r="T177" s="37" t="b">
        <x:v>0</x:v>
      </x:c>
      <x:c r="U177" s="36" t="str">
        <x:v>PENDING</x:v>
      </x:c>
      <x:c r="V177" s="36"/>
      <x:c r="W177" s="36"/>
      <x:c r="X177" s="36" t="str">
        <x:v>needs_geocoding</x:v>
      </x:c>
    </x:row>
    <x:row r="178" ht="15" hidden="0" customHeight="1">
      <x:c r="A178" s="36" t="str">
        <x:v>STRESS</x:v>
      </x:c>
      <x:c r="B178" s="36" t="str">
        <x:v>SOUTHCENTER-6957</x:v>
      </x:c>
      <x:c r="C178" s="36" t="str">
        <x:v>6957</x:v>
      </x:c>
      <x:c r="D178" s="36" t="str">
        <x:v>SOUTHCENTER</x:v>
      </x:c>
      <x:c r="E178" s="36" t="str">
        <x:v>Югоцентр</x:v>
      </x:c>
      <x:c r="F178" s="36" t="str">
        <x:v>Подключение</x:v>
      </x:c>
      <x:c r="G178" s="36" t="str">
        <x:v>Конвергенция абонента</x:v>
      </x:c>
      <x:c r="H178" s="49" t="n">
        <x:v>46251.416666666664</x:v>
      </x:c>
      <x:c r="I178" s="49" t="n">
        <x:v>46251.5</x:v>
      </x:c>
      <x:c r="J178" s="36" t="str">
        <x:v>Хамовники</x:v>
      </x:c>
      <x:c r="K178" s="36" t="str">
        <x:v>Город Москва, ул.Усачёва, д. 25</x:v>
      </x:c>
      <x:c r="L178" s="36" t="str"/>
      <x:c r="M178" s="36" t="str">
        <x:v>Нет</x:v>
      </x:c>
      <x:c r="N178" s="36" t="str">
        <x:v>INSTALL</x:v>
      </x:c>
      <x:c r="O178" s="36" t="n">
        <x:v>60</x:v>
      </x:c>
      <x:c r="P178" s="36" t="str">
        <x:v>NORMAL</x:v>
      </x:c>
      <x:c r="Q178" s="36" t="str">
        <x:v>ANY</x:v>
      </x:c>
      <x:c r="R178" s="36" t="str">
        <x:v>DIAG_SET|INSTALL_SET|CABLE_PACK</x:v>
      </x:c>
      <x:c r="S178" s="49" t="n">
        <x:v>46251.291666666664</x:v>
      </x:c>
      <x:c r="T178" s="37" t="b">
        <x:v>0</x:v>
      </x:c>
      <x:c r="U178" s="36" t="str">
        <x:v>PENDING</x:v>
      </x:c>
      <x:c r="V178" s="36"/>
      <x:c r="W178" s="36"/>
      <x:c r="X178" s="36" t="str">
        <x:v>needs_geocoding</x:v>
      </x:c>
    </x:row>
    <x:row r="179" ht="15" hidden="0" customHeight="1">
      <x:c r="A179" s="36" t="str">
        <x:v>STRESS</x:v>
      </x:c>
      <x:c r="B179" s="36" t="str">
        <x:v>SOUTHCENTER-78036</x:v>
      </x:c>
      <x:c r="C179" s="36" t="str">
        <x:v>78036</x:v>
      </x:c>
      <x:c r="D179" s="36" t="str">
        <x:v>SOUTHCENTER</x:v>
      </x:c>
      <x:c r="E179" s="36" t="str">
        <x:v>Югоцентр</x:v>
      </x:c>
      <x:c r="F179" s="36" t="str">
        <x:v>Дозаказ</x:v>
      </x:c>
      <x:c r="G179" s="36" t="str">
        <x:v>Конвергенция абонента</x:v>
      </x:c>
      <x:c r="H179" s="49" t="n">
        <x:v>46251.833333333336</x:v>
      </x:c>
      <x:c r="I179" s="49" t="n">
        <x:v>46251.916666666664</x:v>
      </x:c>
      <x:c r="J179" s="36" t="str">
        <x:v>Академический</x:v>
      </x:c>
      <x:c r="K179" s="36" t="str">
        <x:v>Город Москва, пр-кт.60-летия Октября, д. 17</x:v>
      </x:c>
      <x:c r="L179" s="36" t="str"/>
      <x:c r="M179" s="36" t="str">
        <x:v>Нет</x:v>
      </x:c>
      <x:c r="N179" s="36" t="str">
        <x:v>INSTALL</x:v>
      </x:c>
      <x:c r="O179" s="36" t="n">
        <x:v>60</x:v>
      </x:c>
      <x:c r="P179" s="36" t="str">
        <x:v>NORMAL</x:v>
      </x:c>
      <x:c r="Q179" s="36" t="str">
        <x:v>ANY</x:v>
      </x:c>
      <x:c r="R179" s="36" t="str">
        <x:v>DIAG_SET|INSTALL_SET|CABLE_PACK</x:v>
      </x:c>
      <x:c r="S179" s="49" t="n">
        <x:v>46251.291666666664</x:v>
      </x:c>
      <x:c r="T179" s="37" t="b">
        <x:v>0</x:v>
      </x:c>
      <x:c r="U179" s="36" t="str">
        <x:v>PENDING</x:v>
      </x:c>
      <x:c r="V179" s="36"/>
      <x:c r="W179" s="36"/>
      <x:c r="X179" s="36" t="str">
        <x:v>needs_geocoding</x:v>
      </x:c>
    </x:row>
    <x:row r="180" ht="15" hidden="0" customHeight="1">
      <x:c r="A180" s="36" t="str">
        <x:v>STRESS</x:v>
      </x:c>
      <x:c r="B180" s="36" t="str">
        <x:v>SOUTHCENTER-49105</x:v>
      </x:c>
      <x:c r="C180" s="36" t="str">
        <x:v>49105</x:v>
      </x:c>
      <x:c r="D180" s="36" t="str">
        <x:v>SOUTHCENTER</x:v>
      </x:c>
      <x:c r="E180" s="36" t="str">
        <x:v>Югоцентр</x:v>
      </x:c>
      <x:c r="F180" s="36" t="str">
        <x:v>Дозаказ</x:v>
      </x:c>
      <x:c r="G180" s="36" t="str">
        <x:v>Заказ подключения/Дозаказ оборудования</x:v>
      </x:c>
      <x:c r="H180" s="49" t="n">
        <x:v>46251.833333333336</x:v>
      </x:c>
      <x:c r="I180" s="49" t="n">
        <x:v>46251.916666666664</x:v>
      </x:c>
      <x:c r="J180" s="36" t="str">
        <x:v>Котловка</x:v>
      </x:c>
      <x:c r="K180" s="36" t="str">
        <x:v>Город Москва, ул.Ремизова, д. 15 к 2</x:v>
      </x:c>
      <x:c r="L180" s="36" t="str"/>
      <x:c r="M180" s="36" t="str">
        <x:v>Нет</x:v>
      </x:c>
      <x:c r="N180" s="36" t="str">
        <x:v>INSTALL</x:v>
      </x:c>
      <x:c r="O180" s="36" t="n">
        <x:v>75</x:v>
      </x:c>
      <x:c r="P180" s="36" t="str">
        <x:v>NORMAL</x:v>
      </x:c>
      <x:c r="Q180" s="36" t="str">
        <x:v>ANY</x:v>
      </x:c>
      <x:c r="R180" s="36" t="str">
        <x:v>DIAG_SET|INSTALL_SET|CABLE_PACK</x:v>
      </x:c>
      <x:c r="S180" s="49" t="n">
        <x:v>46251.291666666664</x:v>
      </x:c>
      <x:c r="T180" s="37" t="b">
        <x:v>0</x:v>
      </x:c>
      <x:c r="U180" s="36" t="str">
        <x:v>PENDING</x:v>
      </x:c>
      <x:c r="V180" s="36"/>
      <x:c r="W180" s="36"/>
      <x:c r="X180" s="36" t="str">
        <x:v>needs_geocoding</x:v>
      </x:c>
    </x:row>
    <x:row r="181" ht="15" hidden="0" customHeight="1">
      <x:c r="A181" s="36" t="str">
        <x:v>STRESS</x:v>
      </x:c>
      <x:c r="B181" s="36" t="str">
        <x:v>SOUTHCENTER-27023</x:v>
      </x:c>
      <x:c r="C181" s="36" t="str">
        <x:v>27023</x:v>
      </x:c>
      <x:c r="D181" s="36" t="str">
        <x:v>SOUTHCENTER</x:v>
      </x:c>
      <x:c r="E181" s="36" t="str">
        <x:v>Югоцентр</x:v>
      </x:c>
      <x:c r="F181" s="36" t="str">
        <x:v>Локальная заявка</x:v>
      </x:c>
      <x:c r="G181" s="36" t="str">
        <x:v>Нет линка</x:v>
      </x:c>
      <x:c r="H181" s="49" t="n">
        <x:v>46251.75</x:v>
      </x:c>
      <x:c r="I181" s="49" t="n">
        <x:v>46251.833333333336</x:v>
      </x:c>
      <x:c r="J181" s="36" t="str">
        <x:v>Академический</x:v>
      </x:c>
      <x:c r="K181" s="36" t="str">
        <x:v>Город Москва, ул.Шверника, д. 5 к 2</x:v>
      </x:c>
      <x:c r="L181" s="36" t="str"/>
      <x:c r="M181" s="36" t="str">
        <x:v>Нет</x:v>
      </x:c>
      <x:c r="N181" s="36" t="str">
        <x:v>LOCAL</x:v>
      </x:c>
      <x:c r="O181" s="36" t="n">
        <x:v>45</x:v>
      </x:c>
      <x:c r="P181" s="36" t="str">
        <x:v>NORMAL</x:v>
      </x:c>
      <x:c r="Q181" s="36" t="str">
        <x:v>ANY</x:v>
      </x:c>
      <x:c r="R181" s="36" t="str">
        <x:v>DIAG_SET</x:v>
      </x:c>
      <x:c r="S181" s="49" t="n">
        <x:v>46251.291666666664</x:v>
      </x:c>
      <x:c r="T181" s="37" t="b">
        <x:v>0</x:v>
      </x:c>
      <x:c r="U181" s="36" t="str">
        <x:v>PENDING</x:v>
      </x:c>
      <x:c r="V181" s="36"/>
      <x:c r="W181" s="36"/>
      <x:c r="X181" s="36" t="str">
        <x:v>needs_geocoding</x:v>
      </x:c>
    </x:row>
    <x:row r="182" ht="15" hidden="0" customHeight="1">
      <x:c r="A182" s="36" t="str">
        <x:v>STRESS</x:v>
      </x:c>
      <x:c r="B182" s="36" t="str">
        <x:v>SOUTHCENTER-26177</x:v>
      </x:c>
      <x:c r="C182" s="36" t="str">
        <x:v>26177</x:v>
      </x:c>
      <x:c r="D182" s="36" t="str">
        <x:v>SOUTHCENTER</x:v>
      </x:c>
      <x:c r="E182" s="36" t="str">
        <x:v>Югоцентр</x:v>
      </x:c>
      <x:c r="F182" s="36" t="str">
        <x:v>Локальная заявка</x:v>
      </x:c>
      <x:c r="G182" s="36" t="str">
        <x:v>Нет линка</x:v>
      </x:c>
      <x:c r="H182" s="49" t="n">
        <x:v>46251.833333333336</x:v>
      </x:c>
      <x:c r="I182" s="49" t="n">
        <x:v>46251.916666666664</x:v>
      </x:c>
      <x:c r="J182" s="36" t="str">
        <x:v>Нагатино - Садовники</x:v>
      </x:c>
      <x:c r="K182" s="36" t="str">
        <x:v>Город Москва, ул.Академика Миллионщикова, д. 13 к 1</x:v>
      </x:c>
      <x:c r="L182" s="36" t="str"/>
      <x:c r="M182" s="36" t="str">
        <x:v>Нет</x:v>
      </x:c>
      <x:c r="N182" s="36" t="str">
        <x:v>LOCAL</x:v>
      </x:c>
      <x:c r="O182" s="36" t="n">
        <x:v>45</x:v>
      </x:c>
      <x:c r="P182" s="36" t="str">
        <x:v>NORMAL</x:v>
      </x:c>
      <x:c r="Q182" s="36" t="str">
        <x:v>ANY</x:v>
      </x:c>
      <x:c r="R182" s="36" t="str">
        <x:v>DIAG_SET</x:v>
      </x:c>
      <x:c r="S182" s="49" t="n">
        <x:v>46251.291666666664</x:v>
      </x:c>
      <x:c r="T182" s="37" t="b">
        <x:v>0</x:v>
      </x:c>
      <x:c r="U182" s="36" t="str">
        <x:v>PENDING</x:v>
      </x:c>
      <x:c r="V182" s="36"/>
      <x:c r="W182" s="36"/>
      <x:c r="X182" s="36" t="str">
        <x:v>needs_geocoding</x:v>
      </x:c>
    </x:row>
    <x:row r="183" ht="15" hidden="0" customHeight="1">
      <x:c r="A183" s="36" t="str">
        <x:v>STRESS</x:v>
      </x:c>
      <x:c r="B183" s="36" t="str">
        <x:v>SOUTHCENTER-77795</x:v>
      </x:c>
      <x:c r="C183" s="36" t="str">
        <x:v>77795</x:v>
      </x:c>
      <x:c r="D183" s="36" t="str">
        <x:v>SOUTHCENTER</x:v>
      </x:c>
      <x:c r="E183" s="36" t="str">
        <x:v>Югоцентр</x:v>
      </x:c>
      <x:c r="F183" s="36" t="str">
        <x:v>Локальная заявка</x:v>
      </x:c>
      <x:c r="G183" s="36" t="str">
        <x:v>TVE/ENT. Другие ошибки</x:v>
      </x:c>
      <x:c r="H183" s="49" t="n">
        <x:v>46251.75</x:v>
      </x:c>
      <x:c r="I183" s="49" t="n">
        <x:v>46251.833333333336</x:v>
      </x:c>
      <x:c r="J183" s="36" t="str">
        <x:v>Академический</x:v>
      </x:c>
      <x:c r="K183" s="36" t="str">
        <x:v>Город Москва, ул.Винокурова, д. 5/6 к 2</x:v>
      </x:c>
      <x:c r="L183" s="36" t="str"/>
      <x:c r="M183" s="36" t="str">
        <x:v>Нет</x:v>
      </x:c>
      <x:c r="N183" s="36" t="str">
        <x:v>LOCAL</x:v>
      </x:c>
      <x:c r="O183" s="36" t="n">
        <x:v>40</x:v>
      </x:c>
      <x:c r="P183" s="36" t="str">
        <x:v>NORMAL</x:v>
      </x:c>
      <x:c r="Q183" s="36" t="str">
        <x:v>ANY</x:v>
      </x:c>
      <x:c r="R183" s="36" t="str">
        <x:v>DIAG_SET</x:v>
      </x:c>
      <x:c r="S183" s="49" t="n">
        <x:v>46251.291666666664</x:v>
      </x:c>
      <x:c r="T183" s="37" t="b">
        <x:v>0</x:v>
      </x:c>
      <x:c r="U183" s="36" t="str">
        <x:v>PENDING</x:v>
      </x:c>
      <x:c r="V183" s="36"/>
      <x:c r="W183" s="36"/>
      <x:c r="X183" s="36" t="str">
        <x:v>needs_geocoding</x:v>
      </x:c>
    </x:row>
    <x:row r="184" ht="15" hidden="0" customHeight="1">
      <x:c r="A184" s="36" t="str">
        <x:v>STRESS</x:v>
      </x:c>
      <x:c r="B184" s="36" t="str">
        <x:v>SOUTHCENTER-24132</x:v>
      </x:c>
      <x:c r="C184" s="36" t="str">
        <x:v>24132</x:v>
      </x:c>
      <x:c r="D184" s="36" t="str">
        <x:v>SOUTHCENTER</x:v>
      </x:c>
      <x:c r="E184" s="36" t="str">
        <x:v>Югоцентр</x:v>
      </x:c>
      <x:c r="F184" s="36" t="str">
        <x:v>Локальная заявка</x:v>
      </x:c>
      <x:c r="G184" s="36" t="str">
        <x:v>Нет линка</x:v>
      </x:c>
      <x:c r="H184" s="49" t="n">
        <x:v>46251.833333333336</x:v>
      </x:c>
      <x:c r="I184" s="49" t="n">
        <x:v>46251.916666666664</x:v>
      </x:c>
      <x:c r="J184" s="36" t="str">
        <x:v>Зюзино</x:v>
      </x:c>
      <x:c r="K184" s="36" t="str">
        <x:v>Город Москва, пр-кт.Балаклавский, д. 50</x:v>
      </x:c>
      <x:c r="L184" s="36" t="str"/>
      <x:c r="M184" s="36" t="str">
        <x:v>Нет</x:v>
      </x:c>
      <x:c r="N184" s="36" t="str">
        <x:v>LOCAL</x:v>
      </x:c>
      <x:c r="O184" s="36" t="n">
        <x:v>45</x:v>
      </x:c>
      <x:c r="P184" s="36" t="str">
        <x:v>NORMAL</x:v>
      </x:c>
      <x:c r="Q184" s="36" t="str">
        <x:v>ANY</x:v>
      </x:c>
      <x:c r="R184" s="36" t="str">
        <x:v>DIAG_SET</x:v>
      </x:c>
      <x:c r="S184" s="49" t="n">
        <x:v>46251.291666666664</x:v>
      </x:c>
      <x:c r="T184" s="37" t="b">
        <x:v>0</x:v>
      </x:c>
      <x:c r="U184" s="36" t="str">
        <x:v>PENDING</x:v>
      </x:c>
      <x:c r="V184" s="36"/>
      <x:c r="W184" s="36"/>
      <x:c r="X184" s="36" t="str">
        <x:v>needs_geocoding</x:v>
      </x:c>
    </x:row>
    <x:row r="185" ht="15" hidden="0" customHeight="1">
      <x:c r="A185" s="36" t="str">
        <x:v>STRESS</x:v>
      </x:c>
      <x:c r="B185" s="36" t="str">
        <x:v>SOUTHCENTER-99841</x:v>
      </x:c>
      <x:c r="C185" s="36" t="str">
        <x:v>99841</x:v>
      </x:c>
      <x:c r="D185" s="36" t="str">
        <x:v>SOUTHCENTER</x:v>
      </x:c>
      <x:c r="E185" s="36" t="str">
        <x:v>Югоцентр</x:v>
      </x:c>
      <x:c r="F185" s="36" t="str">
        <x:v>Локальная заявка</x:v>
      </x:c>
      <x:c r="G185" s="36" t="str">
        <x:v>Нет линка</x:v>
      </x:c>
      <x:c r="H185" s="49" t="n">
        <x:v>46251.75</x:v>
      </x:c>
      <x:c r="I185" s="49" t="n">
        <x:v>46251.833333333336</x:v>
      </x:c>
      <x:c r="J185" s="36" t="str">
        <x:v>Нагорный</x:v>
      </x:c>
      <x:c r="K185" s="36" t="str">
        <x:v>Город Москва, б-р.Симферопольский, д. 27</x:v>
      </x:c>
      <x:c r="L185" s="36" t="str"/>
      <x:c r="M185" s="36" t="str">
        <x:v>Нет</x:v>
      </x:c>
      <x:c r="N185" s="36" t="str">
        <x:v>LOCAL</x:v>
      </x:c>
      <x:c r="O185" s="36" t="n">
        <x:v>45</x:v>
      </x:c>
      <x:c r="P185" s="36" t="str">
        <x:v>NORMAL</x:v>
      </x:c>
      <x:c r="Q185" s="36" t="str">
        <x:v>ANY</x:v>
      </x:c>
      <x:c r="R185" s="36" t="str">
        <x:v>DIAG_SET</x:v>
      </x:c>
      <x:c r="S185" s="49" t="n">
        <x:v>46251.291666666664</x:v>
      </x:c>
      <x:c r="T185" s="37" t="b">
        <x:v>0</x:v>
      </x:c>
      <x:c r="U185" s="36" t="str">
        <x:v>PENDING</x:v>
      </x:c>
      <x:c r="V185" s="36"/>
      <x:c r="W185" s="36"/>
      <x:c r="X185" s="36" t="str">
        <x:v>needs_geocoding</x:v>
      </x:c>
    </x:row>
    <x:row r="186" ht="15" hidden="0" customHeight="1">
      <x:c r="A186" s="36" t="str">
        <x:v>STRESS</x:v>
      </x:c>
      <x:c r="B186" s="36" t="str">
        <x:v>SOUTHCENTER-20263</x:v>
      </x:c>
      <x:c r="C186" s="36" t="str">
        <x:v>20263</x:v>
      </x:c>
      <x:c r="D186" s="36" t="str">
        <x:v>SOUTHCENTER</x:v>
      </x:c>
      <x:c r="E186" s="36" t="str">
        <x:v>Югоцентр</x:v>
      </x:c>
      <x:c r="F186" s="36" t="str">
        <x:v>Локальная заявка</x:v>
      </x:c>
      <x:c r="G186" s="36" t="str">
        <x:v>Нет линка</x:v>
      </x:c>
      <x:c r="H186" s="49" t="n">
        <x:v>46251.416666666664</x:v>
      </x:c>
      <x:c r="I186" s="49" t="n">
        <x:v>46251.5</x:v>
      </x:c>
      <x:c r="J186" s="36" t="str">
        <x:v>Нагорный</x:v>
      </x:c>
      <x:c r="K186" s="36" t="str">
        <x:v>Город Москва, ул.Болотниковская, д. 9 к 2</x:v>
      </x:c>
      <x:c r="L186" s="36" t="str"/>
      <x:c r="M186" s="36" t="str">
        <x:v>Нет</x:v>
      </x:c>
      <x:c r="N186" s="36" t="str">
        <x:v>LOCAL</x:v>
      </x:c>
      <x:c r="O186" s="36" t="n">
        <x:v>45</x:v>
      </x:c>
      <x:c r="P186" s="36" t="str">
        <x:v>NORMAL</x:v>
      </x:c>
      <x:c r="Q186" s="36" t="str">
        <x:v>ANY</x:v>
      </x:c>
      <x:c r="R186" s="36" t="str">
        <x:v>DIAG_SET</x:v>
      </x:c>
      <x:c r="S186" s="49" t="n">
        <x:v>46251.291666666664</x:v>
      </x:c>
      <x:c r="T186" s="37" t="b">
        <x:v>0</x:v>
      </x:c>
      <x:c r="U186" s="36" t="str">
        <x:v>PENDING</x:v>
      </x:c>
      <x:c r="V186" s="36"/>
      <x:c r="W186" s="36"/>
      <x:c r="X186" s="36" t="str">
        <x:v>needs_geocoding</x:v>
      </x:c>
    </x:row>
    <x:row r="187" ht="15" hidden="0" customHeight="1">
      <x:c r="A187" s="36" t="str">
        <x:v>STRESS</x:v>
      </x:c>
      <x:c r="B187" s="36" t="str">
        <x:v>SOUTHCENTER-51133</x:v>
      </x:c>
      <x:c r="C187" s="36" t="str">
        <x:v>51133</x:v>
      </x:c>
      <x:c r="D187" s="36" t="str">
        <x:v>SOUTHCENTER</x:v>
      </x:c>
      <x:c r="E187" s="36" t="str">
        <x:v>Югоцентр</x:v>
      </x:c>
      <x:c r="F187" s="36" t="str">
        <x:v>Локальная заявка</x:v>
      </x:c>
      <x:c r="G187" s="36" t="str">
        <x:v>Нет линка</x:v>
      </x:c>
      <x:c r="H187" s="49" t="n">
        <x:v>46251.5</x:v>
      </x:c>
      <x:c r="I187" s="49" t="n">
        <x:v>46251.583333333336</x:v>
      </x:c>
      <x:c r="J187" s="36" t="str">
        <x:v>Даниловский</x:v>
      </x:c>
      <x:c r="K187" s="36" t="str">
        <x:v>Город Москва, ул.Трофимова, д. 4А</x:v>
      </x:c>
      <x:c r="L187" s="36" t="str"/>
      <x:c r="M187" s="36" t="str">
        <x:v>Нет</x:v>
      </x:c>
      <x:c r="N187" s="36" t="str">
        <x:v>LOCAL</x:v>
      </x:c>
      <x:c r="O187" s="36" t="n">
        <x:v>45</x:v>
      </x:c>
      <x:c r="P187" s="36" t="str">
        <x:v>NORMAL</x:v>
      </x:c>
      <x:c r="Q187" s="36" t="str">
        <x:v>ANY</x:v>
      </x:c>
      <x:c r="R187" s="36" t="str">
        <x:v>DIAG_SET</x:v>
      </x:c>
      <x:c r="S187" s="49" t="n">
        <x:v>46251.291666666664</x:v>
      </x:c>
      <x:c r="T187" s="37" t="b">
        <x:v>0</x:v>
      </x:c>
      <x:c r="U187" s="36" t="str">
        <x:v>PENDING</x:v>
      </x:c>
      <x:c r="V187" s="36"/>
      <x:c r="W187" s="36"/>
      <x:c r="X187" s="36" t="str">
        <x:v>needs_geocoding</x:v>
      </x:c>
    </x:row>
    <x:row r="188" ht="15" hidden="0" customHeight="1">
      <x:c r="A188" s="36" t="str">
        <x:v>STRESS</x:v>
      </x:c>
      <x:c r="B188" s="36" t="str">
        <x:v>SOUTHCENTER-90709</x:v>
      </x:c>
      <x:c r="C188" s="36" t="str">
        <x:v>90709</x:v>
      </x:c>
      <x:c r="D188" s="36" t="str">
        <x:v>SOUTHCENTER</x:v>
      </x:c>
      <x:c r="E188" s="36" t="str">
        <x:v>Югоцентр</x:v>
      </x:c>
      <x:c r="F188" s="36" t="str">
        <x:v>Локальная заявка</x:v>
      </x:c>
      <x:c r="G188" s="36" t="str">
        <x:v>Разрывы</x:v>
      </x:c>
      <x:c r="H188" s="49" t="n">
        <x:v>46251.666666666664</x:v>
      </x:c>
      <x:c r="I188" s="49" t="n">
        <x:v>46251.75</x:v>
      </x:c>
      <x:c r="J188" s="36" t="str">
        <x:v>Нагатинский Затон</x:v>
      </x:c>
      <x:c r="K188" s="36" t="str">
        <x:v>Город Москва, ул.Коломенская, д. 21</x:v>
      </x:c>
      <x:c r="L188" s="36" t="str"/>
      <x:c r="M188" s="36" t="str">
        <x:v>Нет</x:v>
      </x:c>
      <x:c r="N188" s="36" t="str">
        <x:v>LOCAL</x:v>
      </x:c>
      <x:c r="O188" s="36" t="n">
        <x:v>45</x:v>
      </x:c>
      <x:c r="P188" s="36" t="str">
        <x:v>NORMAL</x:v>
      </x:c>
      <x:c r="Q188" s="36" t="str">
        <x:v>ANY</x:v>
      </x:c>
      <x:c r="R188" s="36" t="str">
        <x:v>DIAG_SET</x:v>
      </x:c>
      <x:c r="S188" s="49" t="n">
        <x:v>46251.291666666664</x:v>
      </x:c>
      <x:c r="T188" s="37" t="b">
        <x:v>0</x:v>
      </x:c>
      <x:c r="U188" s="36" t="str">
        <x:v>PENDING</x:v>
      </x:c>
      <x:c r="V188" s="36"/>
      <x:c r="W188" s="36"/>
      <x:c r="X188" s="36" t="str">
        <x:v>needs_geocoding</x:v>
      </x:c>
    </x:row>
    <x:row r="189" ht="15" hidden="0" customHeight="1">
      <x:c r="A189" s="36" t="str">
        <x:v>STRESS</x:v>
      </x:c>
      <x:c r="B189" s="36" t="str">
        <x:v>SOUTHCENTER-84074</x:v>
      </x:c>
      <x:c r="C189" s="36" t="str">
        <x:v>84074</x:v>
      </x:c>
      <x:c r="D189" s="36" t="str">
        <x:v>SOUTHCENTER</x:v>
      </x:c>
      <x:c r="E189" s="36" t="str">
        <x:v>Югоцентр</x:v>
      </x:c>
      <x:c r="F189" s="36" t="str">
        <x:v>Локальная заявка</x:v>
      </x:c>
      <x:c r="G189" s="36" t="str">
        <x:v>Нет линка</x:v>
      </x:c>
      <x:c r="H189" s="49" t="n">
        <x:v>46251.5</x:v>
      </x:c>
      <x:c r="I189" s="49" t="n">
        <x:v>46251.583333333336</x:v>
      </x:c>
      <x:c r="J189" s="36" t="str">
        <x:v>Нагатинский Затон</x:v>
      </x:c>
      <x:c r="K189" s="36" t="str">
        <x:v>Город Москва, наб.Нагатинская, д. 60 к 2</x:v>
      </x:c>
      <x:c r="L189" s="36" t="str"/>
      <x:c r="M189" s="36" t="str">
        <x:v>Нет</x:v>
      </x:c>
      <x:c r="N189" s="36" t="str">
        <x:v>LOCAL</x:v>
      </x:c>
      <x:c r="O189" s="36" t="n">
        <x:v>45</x:v>
      </x:c>
      <x:c r="P189" s="36" t="str">
        <x:v>NORMAL</x:v>
      </x:c>
      <x:c r="Q189" s="36" t="str">
        <x:v>ANY</x:v>
      </x:c>
      <x:c r="R189" s="36" t="str">
        <x:v>DIAG_SET</x:v>
      </x:c>
      <x:c r="S189" s="49" t="n">
        <x:v>46251.291666666664</x:v>
      </x:c>
      <x:c r="T189" s="37" t="b">
        <x:v>0</x:v>
      </x:c>
      <x:c r="U189" s="36" t="str">
        <x:v>PENDING</x:v>
      </x:c>
      <x:c r="V189" s="36"/>
      <x:c r="W189" s="36"/>
      <x:c r="X189" s="36" t="str">
        <x:v>needs_geocoding</x:v>
      </x:c>
    </x:row>
    <x:row r="190" ht="15" hidden="0" customHeight="1">
      <x:c r="A190" s="36" t="str">
        <x:v>STRESS</x:v>
      </x:c>
      <x:c r="B190" s="36" t="str">
        <x:v>SOUTHCENTER-12263</x:v>
      </x:c>
      <x:c r="C190" s="36" t="str">
        <x:v>12263</x:v>
      </x:c>
      <x:c r="D190" s="36" t="str">
        <x:v>SOUTHCENTER</x:v>
      </x:c>
      <x:c r="E190" s="36" t="str">
        <x:v>Югоцентр</x:v>
      </x:c>
      <x:c r="F190" s="36" t="str">
        <x:v>Локальная заявка</x:v>
      </x:c>
      <x:c r="G190" s="36" t="str">
        <x:v>Нет линка</x:v>
      </x:c>
      <x:c r="H190" s="49" t="n">
        <x:v>46251.416666666664</x:v>
      </x:c>
      <x:c r="I190" s="49" t="n">
        <x:v>46251.5</x:v>
      </x:c>
      <x:c r="J190" s="36" t="str">
        <x:v>Нагатино - Садовники</x:v>
      </x:c>
      <x:c r="K190" s="36" t="str">
        <x:v>Город Москва, проезд.Коломенский, д. 27 к 3</x:v>
      </x:c>
      <x:c r="L190" s="36" t="str"/>
      <x:c r="M190" s="36" t="str">
        <x:v>Нет</x:v>
      </x:c>
      <x:c r="N190" s="36" t="str">
        <x:v>LOCAL</x:v>
      </x:c>
      <x:c r="O190" s="36" t="n">
        <x:v>45</x:v>
      </x:c>
      <x:c r="P190" s="36" t="str">
        <x:v>NORMAL</x:v>
      </x:c>
      <x:c r="Q190" s="36" t="str">
        <x:v>ANY</x:v>
      </x:c>
      <x:c r="R190" s="36" t="str">
        <x:v>DIAG_SET</x:v>
      </x:c>
      <x:c r="S190" s="49" t="n">
        <x:v>46251.291666666664</x:v>
      </x:c>
      <x:c r="T190" s="37" t="b">
        <x:v>0</x:v>
      </x:c>
      <x:c r="U190" s="36" t="str">
        <x:v>PENDING</x:v>
      </x:c>
      <x:c r="V190" s="36"/>
      <x:c r="W190" s="36"/>
      <x:c r="X190" s="36" t="str">
        <x:v>needs_geocoding</x:v>
      </x:c>
    </x:row>
    <x:row r="191" ht="15" hidden="0" customHeight="1">
      <x:c r="A191" s="36" t="str">
        <x:v>STRESS</x:v>
      </x:c>
      <x:c r="B191" s="36" t="str">
        <x:v>SOUTHCENTER-95501</x:v>
      </x:c>
      <x:c r="C191" s="36" t="str">
        <x:v>95501</x:v>
      </x:c>
      <x:c r="D191" s="36" t="str">
        <x:v>SOUTHCENTER</x:v>
      </x:c>
      <x:c r="E191" s="36" t="str">
        <x:v>Югоцентр</x:v>
      </x:c>
      <x:c r="F191" s="36" t="str">
        <x:v>Локальная заявка</x:v>
      </x:c>
      <x:c r="G191" s="36" t="str">
        <x:v>Нет линка</x:v>
      </x:c>
      <x:c r="H191" s="49" t="n">
        <x:v>46251.833333333336</x:v>
      </x:c>
      <x:c r="I191" s="49" t="n">
        <x:v>46251.916666666664</x:v>
      </x:c>
      <x:c r="J191" s="36" t="str">
        <x:v>Нагатинский Затон</x:v>
      </x:c>
      <x:c r="K191" s="36" t="str">
        <x:v>Город Москва, ул.Затонная, д. 12 к 1</x:v>
      </x:c>
      <x:c r="L191" s="36" t="str"/>
      <x:c r="M191" s="36" t="str">
        <x:v>Нет</x:v>
      </x:c>
      <x:c r="N191" s="36" t="str">
        <x:v>LOCAL</x:v>
      </x:c>
      <x:c r="O191" s="36" t="n">
        <x:v>45</x:v>
      </x:c>
      <x:c r="P191" s="36" t="str">
        <x:v>NORMAL</x:v>
      </x:c>
      <x:c r="Q191" s="36" t="str">
        <x:v>ANY</x:v>
      </x:c>
      <x:c r="R191" s="36" t="str">
        <x:v>DIAG_SET</x:v>
      </x:c>
      <x:c r="S191" s="49" t="n">
        <x:v>46251.291666666664</x:v>
      </x:c>
      <x:c r="T191" s="37" t="b">
        <x:v>0</x:v>
      </x:c>
      <x:c r="U191" s="36" t="str">
        <x:v>PENDING</x:v>
      </x:c>
      <x:c r="V191" s="36"/>
      <x:c r="W191" s="36"/>
      <x:c r="X191" s="36" t="str">
        <x:v>needs_geocoding</x:v>
      </x:c>
    </x:row>
    <x:row r="192" ht="15" hidden="0" customHeight="1">
      <x:c r="A192" s="36" t="str">
        <x:v>STRESS</x:v>
      </x:c>
      <x:c r="B192" s="36" t="str">
        <x:v>SOUTHCENTER-86002</x:v>
      </x:c>
      <x:c r="C192" s="36" t="str">
        <x:v>86002</x:v>
      </x:c>
      <x:c r="D192" s="36" t="str">
        <x:v>SOUTHCENTER</x:v>
      </x:c>
      <x:c r="E192" s="36" t="str">
        <x:v>Югоцентр</x:v>
      </x:c>
      <x:c r="F192" s="36" t="str">
        <x:v>Локальная заявка</x:v>
      </x:c>
      <x:c r="G192" s="36" t="str">
        <x:v>Нет линка</x:v>
      </x:c>
      <x:c r="H192" s="49" t="n">
        <x:v>46251.583333333336</x:v>
      </x:c>
      <x:c r="I192" s="49" t="n">
        <x:v>46251.666666666664</x:v>
      </x:c>
      <x:c r="J192" s="36" t="str">
        <x:v>Даниловский</x:v>
      </x:c>
      <x:c r="K192" s="36" t="str">
        <x:v>Город Москва, ул.Городская, д. 9</x:v>
      </x:c>
      <x:c r="L192" s="36" t="str"/>
      <x:c r="M192" s="36" t="str">
        <x:v>Нет</x:v>
      </x:c>
      <x:c r="N192" s="36" t="str">
        <x:v>LOCAL</x:v>
      </x:c>
      <x:c r="O192" s="36" t="n">
        <x:v>45</x:v>
      </x:c>
      <x:c r="P192" s="36" t="str">
        <x:v>NORMAL</x:v>
      </x:c>
      <x:c r="Q192" s="36" t="str">
        <x:v>ANY</x:v>
      </x:c>
      <x:c r="R192" s="36" t="str">
        <x:v>DIAG_SET</x:v>
      </x:c>
      <x:c r="S192" s="49" t="n">
        <x:v>46251.291666666664</x:v>
      </x:c>
      <x:c r="T192" s="37" t="b">
        <x:v>0</x:v>
      </x:c>
      <x:c r="U192" s="36" t="str">
        <x:v>PENDING</x:v>
      </x:c>
      <x:c r="V192" s="36"/>
      <x:c r="W192" s="36"/>
      <x:c r="X192" s="36" t="str">
        <x:v>needs_geocoding</x:v>
      </x:c>
    </x:row>
    <x:row r="193" ht="15" hidden="0" customHeight="1">
      <x:c r="A193" s="36" t="str">
        <x:v>STRESS</x:v>
      </x:c>
      <x:c r="B193" s="36" t="str">
        <x:v>SOUTHCENTER-92618</x:v>
      </x:c>
      <x:c r="C193" s="36" t="str">
        <x:v>92618</x:v>
      </x:c>
      <x:c r="D193" s="36" t="str">
        <x:v>SOUTHCENTER</x:v>
      </x:c>
      <x:c r="E193" s="36" t="str">
        <x:v>Югоцентр</x:v>
      </x:c>
      <x:c r="F193" s="36" t="str">
        <x:v>Локальная заявка</x:v>
      </x:c>
      <x:c r="G193" s="36" t="str">
        <x:v>IP-адрес 169...</x:v>
      </x:c>
      <x:c r="H193" s="49" t="n">
        <x:v>46251.75</x:v>
      </x:c>
      <x:c r="I193" s="49" t="n">
        <x:v>46251.833333333336</x:v>
      </x:c>
      <x:c r="J193" s="36" t="str">
        <x:v>Донской</x:v>
      </x:c>
      <x:c r="K193" s="36" t="str">
        <x:v>Город Москва, пр-кт.Севастопольский, д. 9 к 1</x:v>
      </x:c>
      <x:c r="L193" s="36" t="str"/>
      <x:c r="M193" s="36" t="str">
        <x:v>Нет</x:v>
      </x:c>
      <x:c r="N193" s="36" t="str">
        <x:v>LOCAL</x:v>
      </x:c>
      <x:c r="O193" s="36" t="n">
        <x:v>40</x:v>
      </x:c>
      <x:c r="P193" s="36" t="str">
        <x:v>NORMAL</x:v>
      </x:c>
      <x:c r="Q193" s="36" t="str">
        <x:v>ANY</x:v>
      </x:c>
      <x:c r="R193" s="36" t="str">
        <x:v>DIAG_SET</x:v>
      </x:c>
      <x:c r="S193" s="49" t="n">
        <x:v>46251.291666666664</x:v>
      </x:c>
      <x:c r="T193" s="37" t="b">
        <x:v>0</x:v>
      </x:c>
      <x:c r="U193" s="36" t="str">
        <x:v>PENDING</x:v>
      </x:c>
      <x:c r="V193" s="36"/>
      <x:c r="W193" s="36"/>
      <x:c r="X193" s="36" t="str">
        <x:v>needs_geocoding</x:v>
      </x:c>
    </x:row>
    <x:row r="194" ht="15" hidden="0" customHeight="1">
      <x:c r="A194" s="36" t="str">
        <x:v>STRESS</x:v>
      </x:c>
      <x:c r="B194" s="36" t="str">
        <x:v>SOUTHCENTER-26845</x:v>
      </x:c>
      <x:c r="C194" s="36" t="str">
        <x:v>26845</x:v>
      </x:c>
      <x:c r="D194" s="36" t="str">
        <x:v>SOUTHCENTER</x:v>
      </x:c>
      <x:c r="E194" s="36" t="str">
        <x:v>Югоцентр</x:v>
      </x:c>
      <x:c r="F194" s="36" t="str">
        <x:v>Локальная заявка</x:v>
      </x:c>
      <x:c r="G194" s="36" t="str">
        <x:v>Роутер. Замена техническим специалистом</x:v>
      </x:c>
      <x:c r="H194" s="49" t="n">
        <x:v>46251.5</x:v>
      </x:c>
      <x:c r="I194" s="49" t="n">
        <x:v>46251.583333333336</x:v>
      </x:c>
      <x:c r="J194" s="36" t="str">
        <x:v>Даниловский</x:v>
      </x:c>
      <x:c r="K194" s="36" t="str">
        <x:v>Город Москва, проезд.3-й Павелецкий, д. 7 к 2</x:v>
      </x:c>
      <x:c r="L194" s="36" t="str"/>
      <x:c r="M194" s="36" t="str">
        <x:v>Нет</x:v>
      </x:c>
      <x:c r="N194" s="36" t="str">
        <x:v>LOCAL</x:v>
      </x:c>
      <x:c r="O194" s="36" t="n">
        <x:v>45</x:v>
      </x:c>
      <x:c r="P194" s="36" t="str">
        <x:v>NORMAL</x:v>
      </x:c>
      <x:c r="Q194" s="36" t="str">
        <x:v>ANY</x:v>
      </x:c>
      <x:c r="R194" s="36" t="str">
        <x:v>DIAG_SET|ROUTER</x:v>
      </x:c>
      <x:c r="S194" s="49" t="n">
        <x:v>46251.291666666664</x:v>
      </x:c>
      <x:c r="T194" s="37" t="b">
        <x:v>0</x:v>
      </x:c>
      <x:c r="U194" s="36" t="str">
        <x:v>PENDING</x:v>
      </x:c>
      <x:c r="V194" s="36"/>
      <x:c r="W194" s="36"/>
      <x:c r="X194" s="36" t="str">
        <x:v>needs_geocoding</x:v>
      </x:c>
    </x:row>
    <x:row r="195" ht="15" hidden="0" customHeight="1">
      <x:c r="A195" s="36" t="str">
        <x:v>STRESS</x:v>
      </x:c>
      <x:c r="B195" s="36" t="str">
        <x:v>SOUTHCENTER-80308</x:v>
      </x:c>
      <x:c r="C195" s="36" t="str">
        <x:v>80308</x:v>
      </x:c>
      <x:c r="D195" s="36" t="str">
        <x:v>SOUTHCENTER</x:v>
      </x:c>
      <x:c r="E195" s="36" t="str">
        <x:v>Югоцентр</x:v>
      </x:c>
      <x:c r="F195" s="36" t="str">
        <x:v>Локальная заявка</x:v>
      </x:c>
      <x:c r="G195" s="36" t="str">
        <x:v>IP-адрес 169...</x:v>
      </x:c>
      <x:c r="H195" s="49" t="n">
        <x:v>46251.416666666664</x:v>
      </x:c>
      <x:c r="I195" s="49" t="n">
        <x:v>46251.5</x:v>
      </x:c>
      <x:c r="J195" s="36" t="str">
        <x:v>Замоскворечье</x:v>
      </x:c>
      <x:c r="K195" s="36" t="str">
        <x:v>Город Москва, ул.Большая Серпуховская, д. 31 к 6</x:v>
      </x:c>
      <x:c r="L195" s="36" t="str"/>
      <x:c r="M195" s="36" t="str">
        <x:v>Нет</x:v>
      </x:c>
      <x:c r="N195" s="36" t="str">
        <x:v>LOCAL</x:v>
      </x:c>
      <x:c r="O195" s="36" t="n">
        <x:v>40</x:v>
      </x:c>
      <x:c r="P195" s="36" t="str">
        <x:v>NORMAL</x:v>
      </x:c>
      <x:c r="Q195" s="36" t="str">
        <x:v>ANY</x:v>
      </x:c>
      <x:c r="R195" s="36" t="str">
        <x:v>DIAG_SET</x:v>
      </x:c>
      <x:c r="S195" s="49" t="n">
        <x:v>46251.291666666664</x:v>
      </x:c>
      <x:c r="T195" s="37" t="b">
        <x:v>0</x:v>
      </x:c>
      <x:c r="U195" s="36" t="str">
        <x:v>PENDING</x:v>
      </x:c>
      <x:c r="V195" s="36"/>
      <x:c r="W195" s="36"/>
      <x:c r="X195" s="36" t="str">
        <x:v>needs_geocoding</x:v>
      </x:c>
    </x:row>
    <x:row r="196" ht="15" hidden="0" customHeight="1">
      <x:c r="A196" s="36" t="str">
        <x:v>STRESS</x:v>
      </x:c>
      <x:c r="B196" s="36" t="str">
        <x:v>SOUTHCENTER-93276</x:v>
      </x:c>
      <x:c r="C196" s="36" t="str">
        <x:v>93276</x:v>
      </x:c>
      <x:c r="D196" s="36" t="str">
        <x:v>SOUTHCENTER</x:v>
      </x:c>
      <x:c r="E196" s="36" t="str">
        <x:v>Югоцентр</x:v>
      </x:c>
      <x:c r="F196" s="36" t="str">
        <x:v>Локальная заявка</x:v>
      </x:c>
      <x:c r="G196" s="36" t="str">
        <x:v>Разрывы</x:v>
      </x:c>
      <x:c r="H196" s="49" t="n">
        <x:v>46251.666666666664</x:v>
      </x:c>
      <x:c r="I196" s="49" t="n">
        <x:v>46251.75</x:v>
      </x:c>
      <x:c r="J196" s="36" t="str">
        <x:v>Даниловский</x:v>
      </x:c>
      <x:c r="K196" s="36" t="str">
        <x:v>Город Москва, ул.2-я Рощинская, д. 11</x:v>
      </x:c>
      <x:c r="L196" s="36" t="str"/>
      <x:c r="M196" s="36" t="str">
        <x:v>Нет</x:v>
      </x:c>
      <x:c r="N196" s="36" t="str">
        <x:v>LOCAL</x:v>
      </x:c>
      <x:c r="O196" s="36" t="n">
        <x:v>45</x:v>
      </x:c>
      <x:c r="P196" s="36" t="str">
        <x:v>NORMAL</x:v>
      </x:c>
      <x:c r="Q196" s="36" t="str">
        <x:v>ANY</x:v>
      </x:c>
      <x:c r="R196" s="36" t="str">
        <x:v>DIAG_SET</x:v>
      </x:c>
      <x:c r="S196" s="49" t="n">
        <x:v>46251.291666666664</x:v>
      </x:c>
      <x:c r="T196" s="37" t="b">
        <x:v>0</x:v>
      </x:c>
      <x:c r="U196" s="36" t="str">
        <x:v>PENDING</x:v>
      </x:c>
      <x:c r="V196" s="36"/>
      <x:c r="W196" s="36"/>
      <x:c r="X196" s="36" t="str">
        <x:v>needs_geocoding</x:v>
      </x:c>
    </x:row>
    <x:row r="197" ht="15" hidden="0" customHeight="1">
      <x:c r="A197" s="36" t="str">
        <x:v>STRESS</x:v>
      </x:c>
      <x:c r="B197" s="36" t="str">
        <x:v>SOUTHCENTER-61311</x:v>
      </x:c>
      <x:c r="C197" s="36" t="str">
        <x:v>61311</x:v>
      </x:c>
      <x:c r="D197" s="36" t="str">
        <x:v>SOUTHCENTER</x:v>
      </x:c>
      <x:c r="E197" s="36" t="str">
        <x:v>Югоцентр</x:v>
      </x:c>
      <x:c r="F197" s="36" t="str">
        <x:v>Локальная заявка</x:v>
      </x:c>
      <x:c r="G197" s="36" t="str">
        <x:v>ТВ. Замена приставки техником</x:v>
      </x:c>
      <x:c r="H197" s="49" t="n">
        <x:v>46251.666666666664</x:v>
      </x:c>
      <x:c r="I197" s="49" t="n">
        <x:v>46251.75</x:v>
      </x:c>
      <x:c r="J197" s="36" t="str">
        <x:v>Даниловский</x:v>
      </x:c>
      <x:c r="K197" s="36" t="str">
        <x:v>Город Москва, пер.Ослябинский, д. 3</x:v>
      </x:c>
      <x:c r="L197" s="36" t="str"/>
      <x:c r="M197" s="36" t="str">
        <x:v>Нет</x:v>
      </x:c>
      <x:c r="N197" s="36" t="str">
        <x:v>LOCAL</x:v>
      </x:c>
      <x:c r="O197" s="36" t="n">
        <x:v>45</x:v>
      </x:c>
      <x:c r="P197" s="36" t="str">
        <x:v>NORMAL</x:v>
      </x:c>
      <x:c r="Q197" s="36" t="str">
        <x:v>ANY</x:v>
      </x:c>
      <x:c r="R197" s="36" t="str">
        <x:v>DIAG_SET|TV_BOX</x:v>
      </x:c>
      <x:c r="S197" s="49" t="n">
        <x:v>46251.291666666664</x:v>
      </x:c>
      <x:c r="T197" s="37" t="b">
        <x:v>0</x:v>
      </x:c>
      <x:c r="U197" s="36" t="str">
        <x:v>PENDING</x:v>
      </x:c>
      <x:c r="V197" s="36"/>
      <x:c r="W197" s="36"/>
      <x:c r="X197" s="36" t="str">
        <x:v>needs_geocoding</x:v>
      </x:c>
    </x:row>
    <x:row r="198" ht="15" hidden="0" customHeight="1">
      <x:c r="A198" s="36" t="str">
        <x:v>STRESS</x:v>
      </x:c>
      <x:c r="B198" s="36" t="str">
        <x:v>SOUTHCENTER-46513</x:v>
      </x:c>
      <x:c r="C198" s="36" t="str">
        <x:v>46513</x:v>
      </x:c>
      <x:c r="D198" s="36" t="str">
        <x:v>SOUTHCENTER</x:v>
      </x:c>
      <x:c r="E198" s="36" t="str">
        <x:v>Югоцентр</x:v>
      </x:c>
      <x:c r="F198" s="36" t="str">
        <x:v>Локальная заявка</x:v>
      </x:c>
      <x:c r="G198" s="36" t="str">
        <x:v>Рост ошибок на порту</x:v>
      </x:c>
      <x:c r="H198" s="49" t="n">
        <x:v>46251.416666666664</x:v>
      </x:c>
      <x:c r="I198" s="49" t="n">
        <x:v>46251.5</x:v>
      </x:c>
      <x:c r="J198" s="36" t="str">
        <x:v>Академический</x:v>
      </x:c>
      <x:c r="K198" s="36" t="str">
        <x:v>Город Москва, ул.Шверника, д. 14/1 к 2</x:v>
      </x:c>
      <x:c r="L198" s="36" t="str"/>
      <x:c r="M198" s="36" t="str">
        <x:v>Нет</x:v>
      </x:c>
      <x:c r="N198" s="36" t="str">
        <x:v>LOCAL</x:v>
      </x:c>
      <x:c r="O198" s="36" t="n">
        <x:v>45</x:v>
      </x:c>
      <x:c r="P198" s="36" t="str">
        <x:v>NORMAL</x:v>
      </x:c>
      <x:c r="Q198" s="36" t="str">
        <x:v>ANY</x:v>
      </x:c>
      <x:c r="R198" s="36" t="str">
        <x:v>DIAG_SET</x:v>
      </x:c>
      <x:c r="S198" s="49" t="n">
        <x:v>46251.291666666664</x:v>
      </x:c>
      <x:c r="T198" s="37" t="b">
        <x:v>0</x:v>
      </x:c>
      <x:c r="U198" s="36" t="str">
        <x:v>PENDING</x:v>
      </x:c>
      <x:c r="V198" s="36"/>
      <x:c r="W198" s="36"/>
      <x:c r="X198" s="36" t="str">
        <x:v>needs_geocoding</x:v>
      </x:c>
    </x:row>
    <x:row r="199" ht="15" hidden="0" customHeight="1">
      <x:c r="A199" s="36" t="str">
        <x:v>STRESS</x:v>
      </x:c>
      <x:c r="B199" s="36" t="str">
        <x:v>SOUTHCENTER-35265</x:v>
      </x:c>
      <x:c r="C199" s="36" t="str">
        <x:v>35265</x:v>
      </x:c>
      <x:c r="D199" s="36" t="str">
        <x:v>SOUTHCENTER</x:v>
      </x:c>
      <x:c r="E199" s="36" t="str">
        <x:v>Югоцентр</x:v>
      </x:c>
      <x:c r="F199" s="36" t="str">
        <x:v>Локальная заявка</x:v>
      </x:c>
      <x:c r="G199" s="36" t="str">
        <x:v>Работа с кабелем</x:v>
      </x:c>
      <x:c r="H199" s="49" t="n">
        <x:v>46251.666666666664</x:v>
      </x:c>
      <x:c r="I199" s="49" t="n">
        <x:v>46251.75</x:v>
      </x:c>
      <x:c r="J199" s="36" t="str">
        <x:v>Академический</x:v>
      </x:c>
      <x:c r="K199" s="36" t="str">
        <x:v>Город Москва, ул.Профсоюзная, д. 8 к 2</x:v>
      </x:c>
      <x:c r="L199" s="36" t="str"/>
      <x:c r="M199" s="36" t="str">
        <x:v>Нет</x:v>
      </x:c>
      <x:c r="N199" s="36" t="str">
        <x:v>LOCAL</x:v>
      </x:c>
      <x:c r="O199" s="36" t="n">
        <x:v>75</x:v>
      </x:c>
      <x:c r="P199" s="36" t="str">
        <x:v>NORMAL</x:v>
      </x:c>
      <x:c r="Q199" s="36" t="str">
        <x:v>ANY</x:v>
      </x:c>
      <x:c r="R199" s="36" t="str">
        <x:v>DIAG_SET|CABLE_SET|CABLE_PACK</x:v>
      </x:c>
      <x:c r="S199" s="49" t="n">
        <x:v>46251.291666666664</x:v>
      </x:c>
      <x:c r="T199" s="37" t="b">
        <x:v>0</x:v>
      </x:c>
      <x:c r="U199" s="36" t="str">
        <x:v>PENDING</x:v>
      </x:c>
      <x:c r="V199" s="36"/>
      <x:c r="W199" s="36"/>
      <x:c r="X199" s="36" t="str">
        <x:v>needs_geocoding</x:v>
      </x:c>
    </x:row>
    <x:row r="200" ht="15" hidden="0" customHeight="1">
      <x:c r="A200" s="36" t="str">
        <x:v>STRESS</x:v>
      </x:c>
      <x:c r="B200" s="36" t="str">
        <x:v>SOUTHCENTER-13203</x:v>
      </x:c>
      <x:c r="C200" s="36" t="str">
        <x:v>13203</x:v>
      </x:c>
      <x:c r="D200" s="36" t="str">
        <x:v>SOUTHCENTER</x:v>
      </x:c>
      <x:c r="E200" s="36" t="str">
        <x:v>Югоцентр</x:v>
      </x:c>
      <x:c r="F200" s="36" t="str">
        <x:v>Локальная заявка</x:v>
      </x:c>
      <x:c r="G200" s="36" t="str">
        <x:v>ТВ. Замена приставки техником</x:v>
      </x:c>
      <x:c r="H200" s="49" t="n">
        <x:v>46251.583333333336</x:v>
      </x:c>
      <x:c r="I200" s="49" t="n">
        <x:v>46251.666666666664</x:v>
      </x:c>
      <x:c r="J200" s="36" t="str">
        <x:v>Академический</x:v>
      </x:c>
      <x:c r="K200" s="36" t="str">
        <x:v>Город Москва, пр-кт.Нахимовский, д. 50</x:v>
      </x:c>
      <x:c r="L200" s="36" t="str"/>
      <x:c r="M200" s="36" t="str">
        <x:v>Нет</x:v>
      </x:c>
      <x:c r="N200" s="36" t="str">
        <x:v>LOCAL</x:v>
      </x:c>
      <x:c r="O200" s="36" t="n">
        <x:v>45</x:v>
      </x:c>
      <x:c r="P200" s="36" t="str">
        <x:v>NORMAL</x:v>
      </x:c>
      <x:c r="Q200" s="36" t="str">
        <x:v>ANY</x:v>
      </x:c>
      <x:c r="R200" s="36" t="str">
        <x:v>DIAG_SET|TV_BOX</x:v>
      </x:c>
      <x:c r="S200" s="49" t="n">
        <x:v>46251.291666666664</x:v>
      </x:c>
      <x:c r="T200" s="37" t="b">
        <x:v>0</x:v>
      </x:c>
      <x:c r="U200" s="36" t="str">
        <x:v>PENDING</x:v>
      </x:c>
      <x:c r="V200" s="36"/>
      <x:c r="W200" s="36"/>
      <x:c r="X200" s="36" t="str">
        <x:v>needs_geocoding</x:v>
      </x:c>
    </x:row>
    <x:row r="201" ht="15" hidden="0" customHeight="1">
      <x:c r="A201" s="36" t="str">
        <x:v>STRESS</x:v>
      </x:c>
      <x:c r="B201" s="36" t="str">
        <x:v>SOUTHCENTER-26896</x:v>
      </x:c>
      <x:c r="C201" s="36" t="str">
        <x:v>26896</x:v>
      </x:c>
      <x:c r="D201" s="36" t="str">
        <x:v>SOUTHCENTER</x:v>
      </x:c>
      <x:c r="E201" s="36" t="str">
        <x:v>Югоцентр</x:v>
      </x:c>
      <x:c r="F201" s="36" t="str">
        <x:v>Локальная заявка</x:v>
      </x:c>
      <x:c r="G201" s="36" t="str">
        <x:v>Переключение на Гбит/с</x:v>
      </x:c>
      <x:c r="H201" s="49" t="n">
        <x:v>46251.75</x:v>
      </x:c>
      <x:c r="I201" s="49" t="n">
        <x:v>46251.833333333336</x:v>
      </x:c>
      <x:c r="J201" s="36" t="str">
        <x:v>Зюзино</x:v>
      </x:c>
      <x:c r="K201" s="36" t="str">
        <x:v>Город Москва, б-р.Чонгарский, д. 22 к 2</x:v>
      </x:c>
      <x:c r="L201" s="36" t="str"/>
      <x:c r="M201" s="36" t="str">
        <x:v>Нет</x:v>
      </x:c>
      <x:c r="N201" s="36" t="str">
        <x:v>LOCAL</x:v>
      </x:c>
      <x:c r="O201" s="36" t="n">
        <x:v>60</x:v>
      </x:c>
      <x:c r="P201" s="36" t="str">
        <x:v>NORMAL</x:v>
      </x:c>
      <x:c r="Q201" s="36" t="str">
        <x:v>ANY</x:v>
      </x:c>
      <x:c r="R201" s="36" t="str">
        <x:v>DIAG_SET|INSTALL_SET</x:v>
      </x:c>
      <x:c r="S201" s="49" t="n">
        <x:v>46251.291666666664</x:v>
      </x:c>
      <x:c r="T201" s="37" t="b">
        <x:v>0</x:v>
      </x:c>
      <x:c r="U201" s="36" t="str">
        <x:v>PENDING</x:v>
      </x:c>
      <x:c r="V201" s="36"/>
      <x:c r="W201" s="36"/>
      <x:c r="X201" s="36" t="str">
        <x:v>needs_geocoding</x:v>
      </x:c>
    </x:row>
    <x:row r="202" ht="15" hidden="0" customHeight="1">
      <x:c r="A202" s="36" t="str">
        <x:v>STRESS</x:v>
      </x:c>
      <x:c r="B202" s="36" t="str">
        <x:v>SOUTHCENTER-87819</x:v>
      </x:c>
      <x:c r="C202" s="36" t="str">
        <x:v>87819</x:v>
      </x:c>
      <x:c r="D202" s="36" t="str">
        <x:v>SOUTHCENTER</x:v>
      </x:c>
      <x:c r="E202" s="36" t="str">
        <x:v>Югоцентр</x:v>
      </x:c>
      <x:c r="F202" s="36" t="str">
        <x:v>Локальная заявка</x:v>
      </x:c>
      <x:c r="G202" s="36" t="str">
        <x:v>Переключение на Гбит/с</x:v>
      </x:c>
      <x:c r="H202" s="49" t="n">
        <x:v>46251.583333333336</x:v>
      </x:c>
      <x:c r="I202" s="49" t="n">
        <x:v>46251.666666666664</x:v>
      </x:c>
      <x:c r="J202" s="36" t="str">
        <x:v>Замоскворечье</x:v>
      </x:c>
      <x:c r="K202" s="36" t="str">
        <x:v>Город Москва, ул.Люсиновская, д. 4</x:v>
      </x:c>
      <x:c r="L202" s="36" t="str"/>
      <x:c r="M202" s="36" t="str">
        <x:v>Нет</x:v>
      </x:c>
      <x:c r="N202" s="36" t="str">
        <x:v>LOCAL</x:v>
      </x:c>
      <x:c r="O202" s="36" t="n">
        <x:v>60</x:v>
      </x:c>
      <x:c r="P202" s="36" t="str">
        <x:v>NORMAL</x:v>
      </x:c>
      <x:c r="Q202" s="36" t="str">
        <x:v>ANY</x:v>
      </x:c>
      <x:c r="R202" s="36" t="str">
        <x:v>DIAG_SET|INSTALL_SET</x:v>
      </x:c>
      <x:c r="S202" s="49" t="n">
        <x:v>46251.291666666664</x:v>
      </x:c>
      <x:c r="T202" s="37" t="b">
        <x:v>0</x:v>
      </x:c>
      <x:c r="U202" s="36" t="str">
        <x:v>PENDING</x:v>
      </x:c>
      <x:c r="V202" s="36"/>
      <x:c r="W202" s="36"/>
      <x:c r="X202" s="36" t="str">
        <x:v>needs_geocoding</x:v>
      </x:c>
    </x:row>
    <x:row r="203" ht="15" hidden="0" customHeight="1">
      <x:c r="A203" s="36" t="str">
        <x:v>STRESS</x:v>
      </x:c>
      <x:c r="B203" s="36" t="str">
        <x:v>SOUTHCENTER-5406</x:v>
      </x:c>
      <x:c r="C203" s="36" t="str">
        <x:v>5406</x:v>
      </x:c>
      <x:c r="D203" s="36" t="str">
        <x:v>SOUTHCENTER</x:v>
      </x:c>
      <x:c r="E203" s="36" t="str">
        <x:v>Югоцентр</x:v>
      </x:c>
      <x:c r="F203" s="36" t="str">
        <x:v>Локальная заявка</x:v>
      </x:c>
      <x:c r="G203" s="36" t="str">
        <x:v>Переключение на Гбит/с</x:v>
      </x:c>
      <x:c r="H203" s="49" t="n">
        <x:v>46251.416666666664</x:v>
      </x:c>
      <x:c r="I203" s="49" t="n">
        <x:v>46251.5</x:v>
      </x:c>
      <x:c r="J203" s="36" t="str">
        <x:v>Котловка</x:v>
      </x:c>
      <x:c r="K203" s="36" t="str">
        <x:v>Город Москва, ул.Ремизова, д. 15 к 2</x:v>
      </x:c>
      <x:c r="L203" s="36" t="str"/>
      <x:c r="M203" s="36" t="str">
        <x:v>Нет</x:v>
      </x:c>
      <x:c r="N203" s="36" t="str">
        <x:v>LOCAL</x:v>
      </x:c>
      <x:c r="O203" s="36" t="n">
        <x:v>60</x:v>
      </x:c>
      <x:c r="P203" s="36" t="str">
        <x:v>NORMAL</x:v>
      </x:c>
      <x:c r="Q203" s="36" t="str">
        <x:v>ANY</x:v>
      </x:c>
      <x:c r="R203" s="36" t="str">
        <x:v>DIAG_SET|INSTALL_SET</x:v>
      </x:c>
      <x:c r="S203" s="49" t="n">
        <x:v>46251.291666666664</x:v>
      </x:c>
      <x:c r="T203" s="37" t="b">
        <x:v>0</x:v>
      </x:c>
      <x:c r="U203" s="36" t="str">
        <x:v>PENDING</x:v>
      </x:c>
      <x:c r="V203" s="36"/>
      <x:c r="W203" s="36"/>
      <x:c r="X203" s="36" t="str">
        <x:v>needs_geocoding</x:v>
      </x:c>
    </x:row>
    <x:row r="204" ht="15" hidden="0" customHeight="1">
      <x:c r="A204" s="36" t="str">
        <x:v>STRESS</x:v>
      </x:c>
      <x:c r="B204" s="36" t="str">
        <x:v>SOUTHCENTER-86864</x:v>
      </x:c>
      <x:c r="C204" s="36" t="str">
        <x:v>86864</x:v>
      </x:c>
      <x:c r="D204" s="36" t="str">
        <x:v>SOUTHCENTER</x:v>
      </x:c>
      <x:c r="E204" s="36" t="str">
        <x:v>Югоцентр</x:v>
      </x:c>
      <x:c r="F204" s="36" t="str">
        <x:v>Локальная заявка</x:v>
      </x:c>
      <x:c r="G204" s="36" t="str">
        <x:v>Работа с кабелем</x:v>
      </x:c>
      <x:c r="H204" s="49" t="n">
        <x:v>46251.666666666664</x:v>
      </x:c>
      <x:c r="I204" s="49" t="n">
        <x:v>46251.75</x:v>
      </x:c>
      <x:c r="J204" s="36" t="str">
        <x:v>Нагорный</x:v>
      </x:c>
      <x:c r="K204" s="36" t="str">
        <x:v>Город Москва, б-р.Чонгарский, д. 1 к 4</x:v>
      </x:c>
      <x:c r="L204" s="36" t="str"/>
      <x:c r="M204" s="36" t="str">
        <x:v>Нет</x:v>
      </x:c>
      <x:c r="N204" s="36" t="str">
        <x:v>LOCAL</x:v>
      </x:c>
      <x:c r="O204" s="36" t="n">
        <x:v>75</x:v>
      </x:c>
      <x:c r="P204" s="36" t="str">
        <x:v>NORMAL</x:v>
      </x:c>
      <x:c r="Q204" s="36" t="str">
        <x:v>ANY</x:v>
      </x:c>
      <x:c r="R204" s="36" t="str">
        <x:v>DIAG_SET|CABLE_SET|CABLE_PACK</x:v>
      </x:c>
      <x:c r="S204" s="49" t="n">
        <x:v>46251.291666666664</x:v>
      </x:c>
      <x:c r="T204" s="37" t="b">
        <x:v>0</x:v>
      </x:c>
      <x:c r="U204" s="36" t="str">
        <x:v>PENDING</x:v>
      </x:c>
      <x:c r="V204" s="36"/>
      <x:c r="W204" s="36"/>
      <x:c r="X204" s="36" t="str">
        <x:v>needs_geocoding</x:v>
      </x:c>
    </x:row>
    <x:row r="205" ht="15" hidden="0" customHeight="1">
      <x:c r="A205" s="36" t="str">
        <x:v>STRESS</x:v>
      </x:c>
      <x:c r="B205" s="36" t="str">
        <x:v>SOUTHCENTER-17896</x:v>
      </x:c>
      <x:c r="C205" s="36" t="str">
        <x:v>17896</x:v>
      </x:c>
      <x:c r="D205" s="36" t="str">
        <x:v>SOUTHCENTER</x:v>
      </x:c>
      <x:c r="E205" s="36" t="str">
        <x:v>Югоцентр</x:v>
      </x:c>
      <x:c r="F205" s="36" t="str">
        <x:v>Локальная заявка</x:v>
      </x:c>
      <x:c r="G205" s="36" t="str">
        <x:v>IP-адрес 169...</x:v>
      </x:c>
      <x:c r="H205" s="49" t="n">
        <x:v>46251.583333333336</x:v>
      </x:c>
      <x:c r="I205" s="49" t="n">
        <x:v>46251.666666666664</x:v>
      </x:c>
      <x:c r="J205" s="36" t="str">
        <x:v>Зюзино</x:v>
      </x:c>
      <x:c r="K205" s="36" t="str">
        <x:v>Город Москва, ул.Керченская, д. 10 к 2</x:v>
      </x:c>
      <x:c r="L205" s="36" t="str"/>
      <x:c r="M205" s="36" t="str">
        <x:v>Нет</x:v>
      </x:c>
      <x:c r="N205" s="36" t="str">
        <x:v>LOCAL</x:v>
      </x:c>
      <x:c r="O205" s="36" t="n">
        <x:v>40</x:v>
      </x:c>
      <x:c r="P205" s="36" t="str">
        <x:v>NORMAL</x:v>
      </x:c>
      <x:c r="Q205" s="36" t="str">
        <x:v>ANY</x:v>
      </x:c>
      <x:c r="R205" s="36" t="str">
        <x:v>DIAG_SET</x:v>
      </x:c>
      <x:c r="S205" s="49" t="n">
        <x:v>46251.291666666664</x:v>
      </x:c>
      <x:c r="T205" s="37" t="b">
        <x:v>0</x:v>
      </x:c>
      <x:c r="U205" s="36" t="str">
        <x:v>PENDING</x:v>
      </x:c>
      <x:c r="V205" s="36"/>
      <x:c r="W205" s="36"/>
      <x:c r="X205" s="36" t="str">
        <x:v>needs_geocoding</x:v>
      </x:c>
    </x:row>
    <x:row r="206" ht="15" hidden="0" customHeight="1">
      <x:c r="A206" s="36" t="str">
        <x:v>STRESS</x:v>
      </x:c>
      <x:c r="B206" s="36" t="str">
        <x:v>SOUTHCENTER-18023</x:v>
      </x:c>
      <x:c r="C206" s="36" t="str">
        <x:v>18023</x:v>
      </x:c>
      <x:c r="D206" s="36" t="str">
        <x:v>SOUTHCENTER</x:v>
      </x:c>
      <x:c r="E206" s="36" t="str">
        <x:v>Югоцентр</x:v>
      </x:c>
      <x:c r="F206" s="36" t="str">
        <x:v>Глобальная проблема</x:v>
      </x:c>
      <x:c r="G206" s="36" t="str">
        <x:v>Информация</x:v>
      </x:c>
      <x:c r="H206" s="49" t="n">
        <x:v>46251.583333333336</x:v>
      </x:c>
      <x:c r="I206" s="49" t="n">
        <x:v>46251.666666666664</x:v>
      </x:c>
      <x:c r="J206" s="36" t="str">
        <x:v>Гагаринский</x:v>
      </x:c>
      <x:c r="K206" s="36" t="str">
        <x:v>г.Город Москва, пр-кт.Ленинский, д. 70/11</x:v>
      </x:c>
      <x:c r="L206" s="36" t="str"/>
      <x:c r="M206" s="36" t="str">
        <x:v>Нет</x:v>
      </x:c>
      <x:c r="N206" s="36" t="str">
        <x:v>EMERGENCY</x:v>
      </x:c>
      <x:c r="O206" s="36" t="n">
        <x:v>20</x:v>
      </x:c>
      <x:c r="P206" s="36" t="str">
        <x:v>NORMAL</x:v>
      </x:c>
      <x:c r="Q206" s="36" t="str">
        <x:v>ANY</x:v>
      </x:c>
      <x:c r="R206" s="36" t="str"/>
      <x:c r="S206" s="49" t="n">
        <x:v>46251.291666666664</x:v>
      </x:c>
      <x:c r="T206" s="37" t="b">
        <x:v>0</x:v>
      </x:c>
      <x:c r="U206" s="36" t="str">
        <x:v>PENDING</x:v>
      </x:c>
      <x:c r="V206" s="36"/>
      <x:c r="W206" s="36"/>
      <x:c r="X206" s="36" t="str">
        <x:v>needs_geocoding</x:v>
      </x:c>
    </x:row>
    <x:row r="207" ht="15" hidden="0" customHeight="1">
      <x:c r="A207" s="36" t="str">
        <x:v>STRESS</x:v>
      </x:c>
      <x:c r="B207" s="36" t="str">
        <x:v>EAST-EVENT-001</x:v>
      </x:c>
      <x:c r="C207" s="36"/>
      <x:c r="D207" s="36" t="str">
        <x:v>EAST</x:v>
      </x:c>
      <x:c r="E207" s="36" t="str">
        <x:v>Восток</x:v>
      </x:c>
      <x:c r="F207" s="36" t="str">
        <x:v>Глобальная проблема</x:v>
      </x:c>
      <x:c r="G207" s="36" t="str">
        <x:v>Авария</x:v>
      </x:c>
      <x:c r="H207" s="49" t="n">
        <x:v>46251.583333333336</x:v>
      </x:c>
      <x:c r="I207" s="49" t="n">
        <x:v>46251.75</x:v>
      </x:c>
      <x:c r="J207" s="36" t="str">
        <x:v>Кузьминки</x:v>
      </x:c>
      <x:c r="K207" s="36" t="str">
        <x:v>Город Москва, пр-кт.Волгоградский, д. 128 к 5</x:v>
      </x:c>
      <x:c r="L207" s="36" t="str"/>
      <x:c r="M207" s="36" t="str">
        <x:v>Нет</x:v>
      </x:c>
      <x:c r="N207" s="36" t="str">
        <x:v>EMERGENCY</x:v>
      </x:c>
      <x:c r="O207" s="36" t="n">
        <x:v>90</x:v>
      </x:c>
      <x:c r="P207" s="36" t="str">
        <x:v>URGENT</x:v>
      </x:c>
      <x:c r="Q207" s="36" t="str">
        <x:v>ANY</x:v>
      </x:c>
      <x:c r="R207" s="36" t="str">
        <x:v>DIAG_SET|CABLE_SET|CABLE_PACK</x:v>
      </x:c>
      <x:c r="S207" s="49" t="n">
        <x:v>46251.5625</x:v>
      </x:c>
      <x:c r="T207" s="37" t="b">
        <x:v>1</x:v>
      </x:c>
      <x:c r="U207" s="36" t="str">
        <x:v>PENDING</x:v>
      </x:c>
      <x:c r="V207" s="36"/>
      <x:c r="W207" s="36"/>
      <x:c r="X207" s="36" t="str">
        <x:v>needs_geocoding</x:v>
      </x:c>
    </x:row>
    <x:row r="208" ht="15" hidden="0" customHeight="1">
      <x:c r="A208" s="36" t="str">
        <x:v>STRESS</x:v>
      </x:c>
      <x:c r="B208" s="36" t="str">
        <x:v>SOUTHEAST-EVENT-002</x:v>
      </x:c>
      <x:c r="C208" s="36"/>
      <x:c r="D208" s="36" t="str">
        <x:v>SOUTHEAST</x:v>
      </x:c>
      <x:c r="E208" s="36" t="str">
        <x:v>Юго-восток</x:v>
      </x:c>
      <x:c r="F208" s="36" t="str">
        <x:v>Подключение</x:v>
      </x:c>
      <x:c r="G208" s="36" t="str">
        <x:v>Переключение на Гбит/с</x:v>
      </x:c>
      <x:c r="H208" s="49" t="n">
        <x:v>46251.625</x:v>
      </x:c>
      <x:c r="I208" s="49" t="n">
        <x:v>46251.75</x:v>
      </x:c>
      <x:c r="J208" s="36" t="str">
        <x:v>Домодедово</x:v>
      </x:c>
      <x:c r="K208" s="36" t="str">
        <x:v>Домодедово, проезд.Советский 1-й, д. 1А</x:v>
      </x:c>
      <x:c r="L208" s="36" t="str">
        <x:v>GPON</x:v>
      </x:c>
      <x:c r="M208" s="36" t="str">
        <x:v>Да</x:v>
      </x:c>
      <x:c r="N208" s="36" t="str">
        <x:v>INSTALL</x:v>
      </x:c>
      <x:c r="O208" s="36" t="n">
        <x:v>60</x:v>
      </x:c>
      <x:c r="P208" s="36" t="str">
        <x:v>URGENT</x:v>
      </x:c>
      <x:c r="Q208" s="36" t="str">
        <x:v>CAR</x:v>
      </x:c>
      <x:c r="R208" s="36" t="str">
        <x:v>DIAG_SET|INSTALL_SET|ONT_GIGABIT</x:v>
      </x:c>
      <x:c r="S208" s="49" t="n">
        <x:v>46251.59027777778</x:v>
      </x:c>
      <x:c r="T208" s="37" t="b">
        <x:v>1</x:v>
      </x:c>
      <x:c r="U208" s="36" t="str">
        <x:v>PENDING</x:v>
      </x:c>
      <x:c r="V208" s="36"/>
      <x:c r="W208" s="36"/>
      <x:c r="X208" s="36" t="str">
        <x:v>needs_geocoding</x:v>
      </x:c>
    </x:row>
  </x:sheetData>
  <x:conditionalFormatting sqref="P2:P208">
    <x:cfRule type="containsText" dxfId="2" priority="1" operator="containsText" text="URGENT"/>
  </x:conditionalFormatting>
  <x:conditionalFormatting sqref="X2:X208">
    <x:cfRule type="containsText" dxfId="3" priority="2" operator="containsText" text="needs_geocoding"/>
  </x:conditionalFormatting>
  <x:pageMargins left="0.7" right="0.7" top="0.75" bottom="0.75" header="0.3" footer="0.3"/>
  <x:tableParts count="1">
    <x:tablePart xmlns:r="http://schemas.openxmlformats.org/officeDocument/2006/relationships" r:id="R587ff32bf37d46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20" hidden="0" customWidth="1"/>
    <x:col min="9" max="9" width="14" hidden="0" customWidth="1"/>
    <x:col min="10" max="10" width="14" hidden="0" customWidth="1"/>
    <x:col min="11" max="11" width="22" hidden="0" customWidth="1"/>
    <x:col min="12" max="12" width="24" hidden="0" customWidth="1"/>
  </x:cols>
  <x:sheetData>
    <x:row r="1" ht="15" hidden="0" customHeight="1">
      <x:c r="A1" s="46" t="str">
        <x:v>engineer_id</x:v>
      </x:c>
      <x:c r="B1" s="47" t="str">
        <x:v>engineer_name</x:v>
      </x:c>
      <x:c r="C1" s="47" t="str">
        <x:v>zone_id</x:v>
      </x:c>
      <x:c r="D1" s="47" t="str">
        <x:v>zone_name</x:v>
      </x:c>
      <x:c r="E1" s="47" t="str">
        <x:v>shift_start</x:v>
      </x:c>
      <x:c r="F1" s="47" t="str">
        <x:v>shift_end</x:v>
      </x:c>
      <x:c r="G1" s="47" t="str">
        <x:v>start_office_id</x:v>
      </x:c>
      <x:c r="H1" s="47" t="str">
        <x:v>transport_type</x:v>
      </x:c>
      <x:c r="I1" s="47" t="str">
        <x:v>is_available</x:v>
      </x:c>
      <x:c r="J1" s="47" t="str">
        <x:v>max_jobs</x:v>
      </x:c>
      <x:c r="K1" s="47" t="str">
        <x:v>max_route_minutes</x:v>
      </x:c>
      <x:c r="L1" s="48" t="str">
        <x:v>source</x:v>
      </x:c>
    </x:row>
    <x:row r="2" ht="15" hidden="0" customHeight="1">
      <x:c r="A2" s="36" t="str">
        <x:v>EAST-ENG-01</x:v>
      </x:c>
      <x:c r="B2" s="36" t="str">
        <x:v>Бригада Комарь</x:v>
      </x:c>
      <x:c r="C2" s="36" t="str">
        <x:v>EAST</x:v>
      </x:c>
      <x:c r="D2" s="36" t="str">
        <x:v>Восток</x:v>
      </x:c>
      <x:c r="E2" s="36" t="str">
        <x:v>10:00</x:v>
      </x:c>
      <x:c r="F2" s="36" t="str">
        <x:v>22:00</x:v>
      </x:c>
      <x:c r="G2" s="36" t="str">
        <x:v>OFFICE-EAST</x:v>
      </x:c>
      <x:c r="H2" s="36" t="str">
        <x:v>PUBLIC_TRANSIT</x:v>
      </x:c>
      <x:c r="I2" s="37" t="b">
        <x:v>1</x:v>
      </x:c>
      <x:c r="J2" s="36" t="n">
        <x:v>10</x:v>
      </x:c>
      <x:c r="K2" s="36" t="n">
        <x:v>600</x:v>
      </x:c>
      <x:c r="L2" s="36" t="str">
        <x:v>hybrid_synthetic_v1</x:v>
      </x:c>
    </x:row>
    <x:row r="3" ht="15" hidden="0" customHeight="1">
      <x:c r="A3" s="36" t="str">
        <x:v>EAST-ENG-02</x:v>
      </x:c>
      <x:c r="B3" s="36" t="str">
        <x:v>Бригада Матвеев</x:v>
      </x:c>
      <x:c r="C3" s="36" t="str">
        <x:v>EAST</x:v>
      </x:c>
      <x:c r="D3" s="36" t="str">
        <x:v>Восток</x:v>
      </x:c>
      <x:c r="E3" s="36" t="str">
        <x:v>10:00</x:v>
      </x:c>
      <x:c r="F3" s="36" t="str">
        <x:v>22:00</x:v>
      </x:c>
      <x:c r="G3" s="36" t="str">
        <x:v>OFFICE-EAST</x:v>
      </x:c>
      <x:c r="H3" s="36" t="str">
        <x:v>CAR</x:v>
      </x:c>
      <x:c r="I3" s="37" t="b">
        <x:v>1</x:v>
      </x:c>
      <x:c r="J3" s="36" t="n">
        <x:v>10</x:v>
      </x:c>
      <x:c r="K3" s="36" t="n">
        <x:v>600</x:v>
      </x:c>
      <x:c r="L3" s="36" t="str">
        <x:v>hybrid_synthetic_v1</x:v>
      </x:c>
    </x:row>
    <x:row r="4" ht="15" hidden="0" customHeight="1">
      <x:c r="A4" s="36" t="str">
        <x:v>EAST-ENG-03</x:v>
      </x:c>
      <x:c r="B4" s="36" t="str">
        <x:v>Бригада Белузин</x:v>
      </x:c>
      <x:c r="C4" s="36" t="str">
        <x:v>EAST</x:v>
      </x:c>
      <x:c r="D4" s="36" t="str">
        <x:v>Восток</x:v>
      </x:c>
      <x:c r="E4" s="36" t="str">
        <x:v>10:00</x:v>
      </x:c>
      <x:c r="F4" s="36" t="str">
        <x:v>22:00</x:v>
      </x:c>
      <x:c r="G4" s="36" t="str">
        <x:v>OFFICE-EAST</x:v>
      </x:c>
      <x:c r="H4" s="36" t="str">
        <x:v>CAR</x:v>
      </x:c>
      <x:c r="I4" s="37" t="b">
        <x:v>1</x:v>
      </x:c>
      <x:c r="J4" s="36" t="n">
        <x:v>10</x:v>
      </x:c>
      <x:c r="K4" s="36" t="n">
        <x:v>600</x:v>
      </x:c>
      <x:c r="L4" s="36" t="str">
        <x:v>hybrid_synthetic_v1</x:v>
      </x:c>
    </x:row>
    <x:row r="5" ht="15" hidden="0" customHeight="1">
      <x:c r="A5" s="36" t="str">
        <x:v>EAST-ENG-04</x:v>
      </x:c>
      <x:c r="B5" s="36" t="str">
        <x:v>Бригада Свеженцев</x:v>
      </x:c>
      <x:c r="C5" s="36" t="str">
        <x:v>EAST</x:v>
      </x:c>
      <x:c r="D5" s="36" t="str">
        <x:v>Восток</x:v>
      </x:c>
      <x:c r="E5" s="36" t="str">
        <x:v>08:00</x:v>
      </x:c>
      <x:c r="F5" s="36" t="str">
        <x:v>18:00</x:v>
      </x:c>
      <x:c r="G5" s="36" t="str">
        <x:v>OFFICE-EAST</x:v>
      </x:c>
      <x:c r="H5" s="36" t="str">
        <x:v>CAR</x:v>
      </x:c>
      <x:c r="I5" s="37" t="b">
        <x:v>1</x:v>
      </x:c>
      <x:c r="J5" s="36" t="n">
        <x:v>10</x:v>
      </x:c>
      <x:c r="K5" s="36" t="n">
        <x:v>600</x:v>
      </x:c>
      <x:c r="L5" s="36" t="str">
        <x:v>hybrid_synthetic_v1</x:v>
      </x:c>
    </x:row>
    <x:row r="6" ht="15" hidden="0" customHeight="1">
      <x:c r="A6" s="36" t="str">
        <x:v>EAST-ENG-05</x:v>
      </x:c>
      <x:c r="B6" s="36" t="str">
        <x:v>Бригада Гусаковский</x:v>
      </x:c>
      <x:c r="C6" s="36" t="str">
        <x:v>EAST</x:v>
      </x:c>
      <x:c r="D6" s="36" t="str">
        <x:v>Восток</x:v>
      </x:c>
      <x:c r="E6" s="36" t="str">
        <x:v>10:00</x:v>
      </x:c>
      <x:c r="F6" s="36" t="str">
        <x:v>22:00</x:v>
      </x:c>
      <x:c r="G6" s="36" t="str">
        <x:v>OFFICE-EAST</x:v>
      </x:c>
      <x:c r="H6" s="36" t="str">
        <x:v>WALKING</x:v>
      </x:c>
      <x:c r="I6" s="37" t="b">
        <x:v>1</x:v>
      </x:c>
      <x:c r="J6" s="36" t="n">
        <x:v>10</x:v>
      </x:c>
      <x:c r="K6" s="36" t="n">
        <x:v>600</x:v>
      </x:c>
      <x:c r="L6" s="36" t="str">
        <x:v>hybrid_synthetic_v1</x:v>
      </x:c>
    </x:row>
    <x:row r="7" ht="15" hidden="0" customHeight="1">
      <x:c r="A7" s="36" t="str">
        <x:v>EAST-ENG-06</x:v>
      </x:c>
      <x:c r="B7" s="36" t="str">
        <x:v>Бригада Арташкин</x:v>
      </x:c>
      <x:c r="C7" s="36" t="str">
        <x:v>EAST</x:v>
      </x:c>
      <x:c r="D7" s="36" t="str">
        <x:v>Восток</x:v>
      </x:c>
      <x:c r="E7" s="36" t="str">
        <x:v>12:00</x:v>
      </x:c>
      <x:c r="F7" s="36" t="str">
        <x:v>22:00</x:v>
      </x:c>
      <x:c r="G7" s="36" t="str">
        <x:v>OFFICE-EAST</x:v>
      </x:c>
      <x:c r="H7" s="36" t="str">
        <x:v>CAR</x:v>
      </x:c>
      <x:c r="I7" s="37" t="b">
        <x:v>1</x:v>
      </x:c>
      <x:c r="J7" s="36" t="n">
        <x:v>10</x:v>
      </x:c>
      <x:c r="K7" s="36" t="n">
        <x:v>600</x:v>
      </x:c>
      <x:c r="L7" s="36" t="str">
        <x:v>hybrid_synthetic_v1</x:v>
      </x:c>
    </x:row>
    <x:row r="8" ht="15" hidden="0" customHeight="1">
      <x:c r="A8" s="36" t="str">
        <x:v>EAST-ENG-07</x:v>
      </x:c>
      <x:c r="B8" s="36" t="str">
        <x:v>Бригада Перов</x:v>
      </x:c>
      <x:c r="C8" s="36" t="str">
        <x:v>EAST</x:v>
      </x:c>
      <x:c r="D8" s="36" t="str">
        <x:v>Восток</x:v>
      </x:c>
      <x:c r="E8" s="36" t="str">
        <x:v>08:00</x:v>
      </x:c>
      <x:c r="F8" s="36" t="str">
        <x:v>18:00</x:v>
      </x:c>
      <x:c r="G8" s="36" t="str">
        <x:v>OFFICE-EAST</x:v>
      </x:c>
      <x:c r="H8" s="36" t="str">
        <x:v>CAR</x:v>
      </x:c>
      <x:c r="I8" s="37" t="b">
        <x:v>1</x:v>
      </x:c>
      <x:c r="J8" s="36" t="n">
        <x:v>10</x:v>
      </x:c>
      <x:c r="K8" s="36" t="n">
        <x:v>600</x:v>
      </x:c>
      <x:c r="L8" s="36" t="str">
        <x:v>hybrid_synthetic_v1</x:v>
      </x:c>
    </x:row>
    <x:row r="9" ht="15" hidden="0" customHeight="1">
      <x:c r="A9" s="36" t="str">
        <x:v>EAST-ENG-08</x:v>
      </x:c>
      <x:c r="B9" s="36" t="str">
        <x:v>Бригада Зверев</x:v>
      </x:c>
      <x:c r="C9" s="36" t="str">
        <x:v>EAST</x:v>
      </x:c>
      <x:c r="D9" s="36" t="str">
        <x:v>Восток</x:v>
      </x:c>
      <x:c r="E9" s="36" t="str">
        <x:v>10:00</x:v>
      </x:c>
      <x:c r="F9" s="36" t="str">
        <x:v>22:00</x:v>
      </x:c>
      <x:c r="G9" s="36" t="str">
        <x:v>OFFICE-EAST</x:v>
      </x:c>
      <x:c r="H9" s="36" t="str">
        <x:v>WALKING</x:v>
      </x:c>
      <x:c r="I9" s="37" t="b">
        <x:v>1</x:v>
      </x:c>
      <x:c r="J9" s="36" t="n">
        <x:v>10</x:v>
      </x:c>
      <x:c r="K9" s="36" t="n">
        <x:v>600</x:v>
      </x:c>
      <x:c r="L9" s="36" t="str">
        <x:v>hybrid_synthetic_v1</x:v>
      </x:c>
    </x:row>
    <x:row r="10" ht="15" hidden="0" customHeight="1">
      <x:c r="A10" s="36" t="str">
        <x:v>EAST-ENG-09</x:v>
      </x:c>
      <x:c r="B10" s="36" t="str">
        <x:v>Бригада Соколов</x:v>
      </x:c>
      <x:c r="C10" s="36" t="str">
        <x:v>EAST</x:v>
      </x:c>
      <x:c r="D10" s="36" t="str">
        <x:v>Восток</x:v>
      </x:c>
      <x:c r="E10" s="36" t="str">
        <x:v>10:00</x:v>
      </x:c>
      <x:c r="F10" s="36" t="str">
        <x:v>22:00</x:v>
      </x:c>
      <x:c r="G10" s="36" t="str">
        <x:v>OFFICE-EAST</x:v>
      </x:c>
      <x:c r="H10" s="36" t="str">
        <x:v>BICYCLE</x:v>
      </x:c>
      <x:c r="I10" s="37" t="b">
        <x:v>1</x:v>
      </x:c>
      <x:c r="J10" s="36" t="n">
        <x:v>10</x:v>
      </x:c>
      <x:c r="K10" s="36" t="n">
        <x:v>600</x:v>
      </x:c>
      <x:c r="L10" s="36" t="str">
        <x:v>hybrid_synthetic_v1</x:v>
      </x:c>
    </x:row>
    <x:row r="11" ht="15" hidden="0" customHeight="1">
      <x:c r="A11" s="36" t="str">
        <x:v>EAST-ENG-10</x:v>
      </x:c>
      <x:c r="B11" s="36" t="str">
        <x:v>Бригада Мельников</x:v>
      </x:c>
      <x:c r="C11" s="36" t="str">
        <x:v>EAST</x:v>
      </x:c>
      <x:c r="D11" s="36" t="str">
        <x:v>Восток</x:v>
      </x:c>
      <x:c r="E11" s="36" t="str">
        <x:v>08:00</x:v>
      </x:c>
      <x:c r="F11" s="36" t="str">
        <x:v>18:00</x:v>
      </x:c>
      <x:c r="G11" s="36" t="str">
        <x:v>OFFICE-EAST</x:v>
      </x:c>
      <x:c r="H11" s="36" t="str">
        <x:v>PUBLIC_TRANSIT</x:v>
      </x:c>
      <x:c r="I11" s="37" t="b">
        <x:v>1</x:v>
      </x:c>
      <x:c r="J11" s="36" t="n">
        <x:v>10</x:v>
      </x:c>
      <x:c r="K11" s="36" t="n">
        <x:v>600</x:v>
      </x:c>
      <x:c r="L11" s="36" t="str">
        <x:v>hybrid_synthetic_v1</x:v>
      </x:c>
    </x:row>
    <x:row r="12" ht="15" hidden="0" customHeight="1">
      <x:c r="A12" s="36" t="str">
        <x:v>EAST-ENG-11</x:v>
      </x:c>
      <x:c r="B12" s="36" t="str">
        <x:v>Бригада Каушнян</x:v>
      </x:c>
      <x:c r="C12" s="36" t="str">
        <x:v>EAST</x:v>
      </x:c>
      <x:c r="D12" s="36" t="str">
        <x:v>Восток</x:v>
      </x:c>
      <x:c r="E12" s="36" t="str">
        <x:v>12:00</x:v>
      </x:c>
      <x:c r="F12" s="36" t="str">
        <x:v>22:00</x:v>
      </x:c>
      <x:c r="G12" s="36" t="str">
        <x:v>OFFICE-EAST</x:v>
      </x:c>
      <x:c r="H12" s="36" t="str">
        <x:v>BICYCLE</x:v>
      </x:c>
      <x:c r="I12" s="37" t="b">
        <x:v>1</x:v>
      </x:c>
      <x:c r="J12" s="36" t="n">
        <x:v>10</x:v>
      </x:c>
      <x:c r="K12" s="36" t="n">
        <x:v>600</x:v>
      </x:c>
      <x:c r="L12" s="36" t="str">
        <x:v>hybrid_synthetic_v1</x:v>
      </x:c>
    </x:row>
    <x:row r="13" ht="15" hidden="0" customHeight="1">
      <x:c r="A13" s="36" t="str">
        <x:v>EAST-ENG-12</x:v>
      </x:c>
      <x:c r="B13" s="36" t="str">
        <x:v>Бригада Попов</x:v>
      </x:c>
      <x:c r="C13" s="36" t="str">
        <x:v>EAST</x:v>
      </x:c>
      <x:c r="D13" s="36" t="str">
        <x:v>Восток</x:v>
      </x:c>
      <x:c r="E13" s="36" t="str">
        <x:v>12:00</x:v>
      </x:c>
      <x:c r="F13" s="36" t="str">
        <x:v>22:00</x:v>
      </x:c>
      <x:c r="G13" s="36" t="str">
        <x:v>OFFICE-EAST</x:v>
      </x:c>
      <x:c r="H13" s="36" t="str">
        <x:v>CAR</x:v>
      </x:c>
      <x:c r="I13" s="37" t="b">
        <x:v>1</x:v>
      </x:c>
      <x:c r="J13" s="36" t="n">
        <x:v>10</x:v>
      </x:c>
      <x:c r="K13" s="36" t="n">
        <x:v>600</x:v>
      </x:c>
      <x:c r="L13" s="36" t="str">
        <x:v>hybrid_synthetic_v1</x:v>
      </x:c>
    </x:row>
    <x:row r="14" ht="15" hidden="0" customHeight="1">
      <x:c r="A14" s="36" t="str">
        <x:v>SOUTHEAST-ENG-01</x:v>
      </x:c>
      <x:c r="B14" s="36" t="str">
        <x:v>Бригада Белоновский</x:v>
      </x:c>
      <x:c r="C14" s="36" t="str">
        <x:v>SOUTHEAST</x:v>
      </x:c>
      <x:c r="D14" s="36" t="str">
        <x:v>Юго-восток</x:v>
      </x:c>
      <x:c r="E14" s="36" t="str">
        <x:v>10:00</x:v>
      </x:c>
      <x:c r="F14" s="36" t="str">
        <x:v>22:00</x:v>
      </x:c>
      <x:c r="G14" s="36" t="str">
        <x:v>OFFICE-SOUTHEAST</x:v>
      </x:c>
      <x:c r="H14" s="36" t="str">
        <x:v>CAR</x:v>
      </x:c>
      <x:c r="I14" s="37" t="b">
        <x:v>1</x:v>
      </x:c>
      <x:c r="J14" s="36" t="n">
        <x:v>10</x:v>
      </x:c>
      <x:c r="K14" s="36" t="n">
        <x:v>600</x:v>
      </x:c>
      <x:c r="L14" s="36" t="str">
        <x:v>hybrid_synthetic_v1</x:v>
      </x:c>
    </x:row>
    <x:row r="15" ht="15" hidden="0" customHeight="1">
      <x:c r="A15" s="36" t="str">
        <x:v>SOUTHEAST-ENG-02</x:v>
      </x:c>
      <x:c r="B15" s="36" t="str">
        <x:v>Бригада Демин</x:v>
      </x:c>
      <x:c r="C15" s="36" t="str">
        <x:v>SOUTHEAST</x:v>
      </x:c>
      <x:c r="D15" s="36" t="str">
        <x:v>Юго-восток</x:v>
      </x:c>
      <x:c r="E15" s="36" t="str">
        <x:v>10:00</x:v>
      </x:c>
      <x:c r="F15" s="36" t="str">
        <x:v>22:00</x:v>
      </x:c>
      <x:c r="G15" s="36" t="str">
        <x:v>OFFICE-SOUTHEAST</x:v>
      </x:c>
      <x:c r="H15" s="36" t="str">
        <x:v>CAR</x:v>
      </x:c>
      <x:c r="I15" s="37" t="b">
        <x:v>1</x:v>
      </x:c>
      <x:c r="J15" s="36" t="n">
        <x:v>10</x:v>
      </x:c>
      <x:c r="K15" s="36" t="n">
        <x:v>600</x:v>
      </x:c>
      <x:c r="L15" s="36" t="str">
        <x:v>hybrid_synthetic_v1</x:v>
      </x:c>
    </x:row>
    <x:row r="16" ht="15" hidden="0" customHeight="1">
      <x:c r="A16" s="36" t="str">
        <x:v>SOUTHEAST-ENG-03</x:v>
      </x:c>
      <x:c r="B16" s="36" t="str">
        <x:v>Бригада Макаров</x:v>
      </x:c>
      <x:c r="C16" s="36" t="str">
        <x:v>SOUTHEAST</x:v>
      </x:c>
      <x:c r="D16" s="36" t="str">
        <x:v>Юго-восток</x:v>
      </x:c>
      <x:c r="E16" s="36" t="str">
        <x:v>12:00</x:v>
      </x:c>
      <x:c r="F16" s="36" t="str">
        <x:v>22:00</x:v>
      </x:c>
      <x:c r="G16" s="36" t="str">
        <x:v>OFFICE-SOUTHEAST</x:v>
      </x:c>
      <x:c r="H16" s="36" t="str">
        <x:v>BICYCLE</x:v>
      </x:c>
      <x:c r="I16" s="37" t="b">
        <x:v>1</x:v>
      </x:c>
      <x:c r="J16" s="36" t="n">
        <x:v>10</x:v>
      </x:c>
      <x:c r="K16" s="36" t="n">
        <x:v>600</x:v>
      </x:c>
      <x:c r="L16" s="36" t="str">
        <x:v>hybrid_synthetic_v1</x:v>
      </x:c>
    </x:row>
    <x:row r="17" ht="15" hidden="0" customHeight="1">
      <x:c r="A17" s="36" t="str">
        <x:v>SOUTHEAST-ENG-04</x:v>
      </x:c>
      <x:c r="B17" s="36" t="str">
        <x:v>Бригада Саламатин</x:v>
      </x:c>
      <x:c r="C17" s="36" t="str">
        <x:v>SOUTHEAST</x:v>
      </x:c>
      <x:c r="D17" s="36" t="str">
        <x:v>Юго-восток</x:v>
      </x:c>
      <x:c r="E17" s="36" t="str">
        <x:v>08:00</x:v>
      </x:c>
      <x:c r="F17" s="36" t="str">
        <x:v>18:00</x:v>
      </x:c>
      <x:c r="G17" s="36" t="str">
        <x:v>OFFICE-SOUTHEAST</x:v>
      </x:c>
      <x:c r="H17" s="36" t="str">
        <x:v>PUBLIC_TRANSIT</x:v>
      </x:c>
      <x:c r="I17" s="37" t="b">
        <x:v>1</x:v>
      </x:c>
      <x:c r="J17" s="36" t="n">
        <x:v>10</x:v>
      </x:c>
      <x:c r="K17" s="36" t="n">
        <x:v>600</x:v>
      </x:c>
      <x:c r="L17" s="36" t="str">
        <x:v>hybrid_synthetic_v1</x:v>
      </x:c>
    </x:row>
    <x:row r="18" ht="15" hidden="0" customHeight="1">
      <x:c r="A18" s="36" t="str">
        <x:v>SOUTHEAST-ENG-05</x:v>
      </x:c>
      <x:c r="B18" s="36" t="str">
        <x:v>Бригада Бузань</x:v>
      </x:c>
      <x:c r="C18" s="36" t="str">
        <x:v>SOUTHEAST</x:v>
      </x:c>
      <x:c r="D18" s="36" t="str">
        <x:v>Юго-восток</x:v>
      </x:c>
      <x:c r="E18" s="36" t="str">
        <x:v>12:00</x:v>
      </x:c>
      <x:c r="F18" s="36" t="str">
        <x:v>22:00</x:v>
      </x:c>
      <x:c r="G18" s="36" t="str">
        <x:v>OFFICE-SOUTHEAST</x:v>
      </x:c>
      <x:c r="H18" s="36" t="str">
        <x:v>WALKING</x:v>
      </x:c>
      <x:c r="I18" s="37" t="b">
        <x:v>1</x:v>
      </x:c>
      <x:c r="J18" s="36" t="n">
        <x:v>10</x:v>
      </x:c>
      <x:c r="K18" s="36" t="n">
        <x:v>600</x:v>
      </x:c>
      <x:c r="L18" s="36" t="str">
        <x:v>hybrid_synthetic_v1</x:v>
      </x:c>
    </x:row>
    <x:row r="19" ht="15" hidden="0" customHeight="1">
      <x:c r="A19" s="36" t="str">
        <x:v>SOUTHEAST-ENG-06</x:v>
      </x:c>
      <x:c r="B19" s="36" t="str">
        <x:v>Бригада Каушнян</x:v>
      </x:c>
      <x:c r="C19" s="36" t="str">
        <x:v>SOUTHEAST</x:v>
      </x:c>
      <x:c r="D19" s="36" t="str">
        <x:v>Юго-восток</x:v>
      </x:c>
      <x:c r="E19" s="36" t="str">
        <x:v>10:00</x:v>
      </x:c>
      <x:c r="F19" s="36" t="str">
        <x:v>22:00</x:v>
      </x:c>
      <x:c r="G19" s="36" t="str">
        <x:v>OFFICE-SOUTHEAST</x:v>
      </x:c>
      <x:c r="H19" s="36" t="str">
        <x:v>CAR</x:v>
      </x:c>
      <x:c r="I19" s="37" t="b">
        <x:v>1</x:v>
      </x:c>
      <x:c r="J19" s="36" t="n">
        <x:v>10</x:v>
      </x:c>
      <x:c r="K19" s="36" t="n">
        <x:v>600</x:v>
      </x:c>
      <x:c r="L19" s="36" t="str">
        <x:v>hybrid_synthetic_v1</x:v>
      </x:c>
    </x:row>
    <x:row r="20" ht="15" hidden="0" customHeight="1">
      <x:c r="A20" s="36" t="str">
        <x:v>SOUTHEAST-ENG-07</x:v>
      </x:c>
      <x:c r="B20" s="36" t="str">
        <x:v>Бригада Паршин</x:v>
      </x:c>
      <x:c r="C20" s="36" t="str">
        <x:v>SOUTHEAST</x:v>
      </x:c>
      <x:c r="D20" s="36" t="str">
        <x:v>Юго-восток</x:v>
      </x:c>
      <x:c r="E20" s="36" t="str">
        <x:v>08:00</x:v>
      </x:c>
      <x:c r="F20" s="36" t="str">
        <x:v>18:00</x:v>
      </x:c>
      <x:c r="G20" s="36" t="str">
        <x:v>OFFICE-SOUTHEAST</x:v>
      </x:c>
      <x:c r="H20" s="36" t="str">
        <x:v>CAR</x:v>
      </x:c>
      <x:c r="I20" s="37" t="b">
        <x:v>1</x:v>
      </x:c>
      <x:c r="J20" s="36" t="n">
        <x:v>10</x:v>
      </x:c>
      <x:c r="K20" s="36" t="n">
        <x:v>600</x:v>
      </x:c>
      <x:c r="L20" s="36" t="str">
        <x:v>hybrid_synthetic_v1</x:v>
      </x:c>
    </x:row>
    <x:row r="21" ht="15" hidden="0" customHeight="1">
      <x:c r="A21" s="36" t="str">
        <x:v>SOUTHEAST-ENG-08</x:v>
      </x:c>
      <x:c r="B21" s="36" t="str">
        <x:v>Бригада Андреев</x:v>
      </x:c>
      <x:c r="C21" s="36" t="str">
        <x:v>SOUTHEAST</x:v>
      </x:c>
      <x:c r="D21" s="36" t="str">
        <x:v>Юго-восток</x:v>
      </x:c>
      <x:c r="E21" s="36" t="str">
        <x:v>08:00</x:v>
      </x:c>
      <x:c r="F21" s="36" t="str">
        <x:v>18:00</x:v>
      </x:c>
      <x:c r="G21" s="36" t="str">
        <x:v>OFFICE-SOUTHEAST</x:v>
      </x:c>
      <x:c r="H21" s="36" t="str">
        <x:v>CAR</x:v>
      </x:c>
      <x:c r="I21" s="37" t="b">
        <x:v>1</x:v>
      </x:c>
      <x:c r="J21" s="36" t="n">
        <x:v>10</x:v>
      </x:c>
      <x:c r="K21" s="36" t="n">
        <x:v>600</x:v>
      </x:c>
      <x:c r="L21" s="36" t="str">
        <x:v>hybrid_synthetic_v1</x:v>
      </x:c>
    </x:row>
    <x:row r="22" ht="15" hidden="0" customHeight="1">
      <x:c r="A22" s="36" t="str">
        <x:v>SOUTHEAST-ENG-09</x:v>
      </x:c>
      <x:c r="B22" s="36" t="str">
        <x:v>Бригада Рыбин</x:v>
      </x:c>
      <x:c r="C22" s="36" t="str">
        <x:v>SOUTHEAST</x:v>
      </x:c>
      <x:c r="D22" s="36" t="str">
        <x:v>Юго-восток</x:v>
      </x:c>
      <x:c r="E22" s="36" t="str">
        <x:v>12:00</x:v>
      </x:c>
      <x:c r="F22" s="36" t="str">
        <x:v>22:00</x:v>
      </x:c>
      <x:c r="G22" s="36" t="str">
        <x:v>OFFICE-SOUTHEAST</x:v>
      </x:c>
      <x:c r="H22" s="36" t="str">
        <x:v>CAR</x:v>
      </x:c>
      <x:c r="I22" s="37" t="b">
        <x:v>1</x:v>
      </x:c>
      <x:c r="J22" s="36" t="n">
        <x:v>10</x:v>
      </x:c>
      <x:c r="K22" s="36" t="n">
        <x:v>600</x:v>
      </x:c>
      <x:c r="L22" s="36" t="str">
        <x:v>hybrid_synthetic_v1</x:v>
      </x:c>
    </x:row>
    <x:row r="23" ht="15" hidden="0" customHeight="1">
      <x:c r="A23" s="36" t="str">
        <x:v>SOUTHEAST-ENG-10</x:v>
      </x:c>
      <x:c r="B23" s="36" t="str">
        <x:v>Бригада Горбанев</x:v>
      </x:c>
      <x:c r="C23" s="36" t="str">
        <x:v>SOUTHEAST</x:v>
      </x:c>
      <x:c r="D23" s="36" t="str">
        <x:v>Юго-восток</x:v>
      </x:c>
      <x:c r="E23" s="36" t="str">
        <x:v>10:00</x:v>
      </x:c>
      <x:c r="F23" s="36" t="str">
        <x:v>22:00</x:v>
      </x:c>
      <x:c r="G23" s="36" t="str">
        <x:v>OFFICE-SOUTHEAST</x:v>
      </x:c>
      <x:c r="H23" s="36" t="str">
        <x:v>CAR</x:v>
      </x:c>
      <x:c r="I23" s="37" t="b">
        <x:v>1</x:v>
      </x:c>
      <x:c r="J23" s="36" t="n">
        <x:v>10</x:v>
      </x:c>
      <x:c r="K23" s="36" t="n">
        <x:v>600</x:v>
      </x:c>
      <x:c r="L23" s="36" t="str">
        <x:v>hybrid_synthetic_v1</x:v>
      </x:c>
    </x:row>
    <x:row r="24" ht="15" hidden="0" customHeight="1">
      <x:c r="A24" s="36" t="str">
        <x:v>SOUTHEAST-ENG-11</x:v>
      </x:c>
      <x:c r="B24" s="36" t="str">
        <x:v>Бригада Козырь</x:v>
      </x:c>
      <x:c r="C24" s="36" t="str">
        <x:v>SOUTHEAST</x:v>
      </x:c>
      <x:c r="D24" s="36" t="str">
        <x:v>Юго-восток</x:v>
      </x:c>
      <x:c r="E24" s="36" t="str">
        <x:v>10:00</x:v>
      </x:c>
      <x:c r="F24" s="36" t="str">
        <x:v>22:00</x:v>
      </x:c>
      <x:c r="G24" s="36" t="str">
        <x:v>OFFICE-SOUTHEAST</x:v>
      </x:c>
      <x:c r="H24" s="36" t="str">
        <x:v>PUBLIC_TRANSIT</x:v>
      </x:c>
      <x:c r="I24" s="37" t="b">
        <x:v>1</x:v>
      </x:c>
      <x:c r="J24" s="36" t="n">
        <x:v>10</x:v>
      </x:c>
      <x:c r="K24" s="36" t="n">
        <x:v>600</x:v>
      </x:c>
      <x:c r="L24" s="36" t="str">
        <x:v>hybrid_synthetic_v1</x:v>
      </x:c>
    </x:row>
    <x:row r="25" ht="15" hidden="0" customHeight="1">
      <x:c r="A25" s="36" t="str">
        <x:v>SOUTHEAST-ENG-12</x:v>
      </x:c>
      <x:c r="B25" s="36" t="str">
        <x:v>Бригада Царьков</x:v>
      </x:c>
      <x:c r="C25" s="36" t="str">
        <x:v>SOUTHEAST</x:v>
      </x:c>
      <x:c r="D25" s="36" t="str">
        <x:v>Юго-восток</x:v>
      </x:c>
      <x:c r="E25" s="36" t="str">
        <x:v>10:00</x:v>
      </x:c>
      <x:c r="F25" s="36" t="str">
        <x:v>22:00</x:v>
      </x:c>
      <x:c r="G25" s="36" t="str">
        <x:v>OFFICE-SOUTHEAST</x:v>
      </x:c>
      <x:c r="H25" s="36" t="str">
        <x:v>CAR</x:v>
      </x:c>
      <x:c r="I25" s="37" t="b">
        <x:v>1</x:v>
      </x:c>
      <x:c r="J25" s="36" t="n">
        <x:v>10</x:v>
      </x:c>
      <x:c r="K25" s="36" t="n">
        <x:v>600</x:v>
      </x:c>
      <x:c r="L25" s="36" t="str">
        <x:v>hybrid_synthetic_v1</x:v>
      </x:c>
    </x:row>
    <x:row r="26" ht="15" hidden="0" customHeight="1">
      <x:c r="A26" s="36" t="str">
        <x:v>SOUTHCENTER-ENG-01</x:v>
      </x:c>
      <x:c r="B26" s="36" t="str">
        <x:v>Брюзгин Ярослав</x:v>
      </x:c>
      <x:c r="C26" s="36" t="str">
        <x:v>SOUTHCENTER</x:v>
      </x:c>
      <x:c r="D26" s="36" t="str">
        <x:v>Югоцентр</x:v>
      </x:c>
      <x:c r="E26" s="36" t="str">
        <x:v>08:00</x:v>
      </x:c>
      <x:c r="F26" s="36" t="str">
        <x:v>18:00</x:v>
      </x:c>
      <x:c r="G26" s="36" t="str">
        <x:v>OFFICE-SOUTHCENTER</x:v>
      </x:c>
      <x:c r="H26" s="36" t="str">
        <x:v>CAR</x:v>
      </x:c>
      <x:c r="I26" s="37" t="b">
        <x:v>1</x:v>
      </x:c>
      <x:c r="J26" s="36" t="n">
        <x:v>10</x:v>
      </x:c>
      <x:c r="K26" s="36" t="n">
        <x:v>600</x:v>
      </x:c>
      <x:c r="L26" s="36" t="str">
        <x:v>hybrid_synthetic_v1</x:v>
      </x:c>
    </x:row>
    <x:row r="27" ht="15" hidden="0" customHeight="1">
      <x:c r="A27" s="36" t="str">
        <x:v>SOUTHCENTER-ENG-02</x:v>
      </x:c>
      <x:c r="B27" s="36" t="str">
        <x:v>Сакур Тимофей</x:v>
      </x:c>
      <x:c r="C27" s="36" t="str">
        <x:v>SOUTHCENTER</x:v>
      </x:c>
      <x:c r="D27" s="36" t="str">
        <x:v>Югоцентр</x:v>
      </x:c>
      <x:c r="E27" s="36" t="str">
        <x:v>10:00</x:v>
      </x:c>
      <x:c r="F27" s="36" t="str">
        <x:v>22:00</x:v>
      </x:c>
      <x:c r="G27" s="36" t="str">
        <x:v>OFFICE-SOUTHCENTER</x:v>
      </x:c>
      <x:c r="H27" s="36" t="str">
        <x:v>BICYCLE</x:v>
      </x:c>
      <x:c r="I27" s="37" t="b">
        <x:v>1</x:v>
      </x:c>
      <x:c r="J27" s="36" t="n">
        <x:v>10</x:v>
      </x:c>
      <x:c r="K27" s="36" t="n">
        <x:v>600</x:v>
      </x:c>
      <x:c r="L27" s="36" t="str">
        <x:v>hybrid_synthetic_v1</x:v>
      </x:c>
    </x:row>
    <x:row r="28" ht="15" hidden="0" customHeight="1">
      <x:c r="A28" s="36" t="str">
        <x:v>SOUTHCENTER-ENG-03</x:v>
      </x:c>
      <x:c r="B28" s="36" t="str">
        <x:v>Прокопенко Вячеслав</x:v>
      </x:c>
      <x:c r="C28" s="36" t="str">
        <x:v>SOUTHCENTER</x:v>
      </x:c>
      <x:c r="D28" s="36" t="str">
        <x:v>Югоцентр</x:v>
      </x:c>
      <x:c r="E28" s="36" t="str">
        <x:v>12:00</x:v>
      </x:c>
      <x:c r="F28" s="36" t="str">
        <x:v>22:00</x:v>
      </x:c>
      <x:c r="G28" s="36" t="str">
        <x:v>OFFICE-SOUTHCENTER</x:v>
      </x:c>
      <x:c r="H28" s="36" t="str">
        <x:v>PUBLIC_TRANSIT</x:v>
      </x:c>
      <x:c r="I28" s="37" t="b">
        <x:v>1</x:v>
      </x:c>
      <x:c r="J28" s="36" t="n">
        <x:v>10</x:v>
      </x:c>
      <x:c r="K28" s="36" t="n">
        <x:v>600</x:v>
      </x:c>
      <x:c r="L28" s="36" t="str">
        <x:v>hybrid_synthetic_v1</x:v>
      </x:c>
    </x:row>
    <x:row r="29" ht="15" hidden="0" customHeight="1">
      <x:c r="A29" s="36" t="str">
        <x:v>SOUTHCENTER-ENG-04</x:v>
      </x:c>
      <x:c r="B29" s="36" t="str">
        <x:v>Ионов Геннадий</x:v>
      </x:c>
      <x:c r="C29" s="36" t="str">
        <x:v>SOUTHCENTER</x:v>
      </x:c>
      <x:c r="D29" s="36" t="str">
        <x:v>Югоцентр</x:v>
      </x:c>
      <x:c r="E29" s="36" t="str">
        <x:v>08:00</x:v>
      </x:c>
      <x:c r="F29" s="36" t="str">
        <x:v>18:00</x:v>
      </x:c>
      <x:c r="G29" s="36" t="str">
        <x:v>OFFICE-SOUTHCENTER</x:v>
      </x:c>
      <x:c r="H29" s="36" t="str">
        <x:v>WALKING</x:v>
      </x:c>
      <x:c r="I29" s="37" t="b">
        <x:v>1</x:v>
      </x:c>
      <x:c r="J29" s="36" t="n">
        <x:v>10</x:v>
      </x:c>
      <x:c r="K29" s="36" t="n">
        <x:v>600</x:v>
      </x:c>
      <x:c r="L29" s="36" t="str">
        <x:v>hybrid_synthetic_v1</x:v>
      </x:c>
    </x:row>
    <x:row r="30" ht="15" hidden="0" customHeight="1">
      <x:c r="A30" s="36" t="str">
        <x:v>SOUTHCENTER-ENG-05</x:v>
      </x:c>
      <x:c r="B30" s="36" t="str">
        <x:v>Исхаков Денис</x:v>
      </x:c>
      <x:c r="C30" s="36" t="str">
        <x:v>SOUTHCENTER</x:v>
      </x:c>
      <x:c r="D30" s="36" t="str">
        <x:v>Югоцентр</x:v>
      </x:c>
      <x:c r="E30" s="36" t="str">
        <x:v>08:00</x:v>
      </x:c>
      <x:c r="F30" s="36" t="str">
        <x:v>18:00</x:v>
      </x:c>
      <x:c r="G30" s="36" t="str">
        <x:v>OFFICE-SOUTHCENTER</x:v>
      </x:c>
      <x:c r="H30" s="36" t="str">
        <x:v>WALKING</x:v>
      </x:c>
      <x:c r="I30" s="37" t="b">
        <x:v>1</x:v>
      </x:c>
      <x:c r="J30" s="36" t="n">
        <x:v>10</x:v>
      </x:c>
      <x:c r="K30" s="36" t="n">
        <x:v>600</x:v>
      </x:c>
      <x:c r="L30" s="36" t="str">
        <x:v>hybrid_synthetic_v1</x:v>
      </x:c>
    </x:row>
    <x:row r="31" ht="15" hidden="0" customHeight="1">
      <x:c r="A31" s="36" t="str">
        <x:v>SOUTHCENTER-ENG-06</x:v>
      </x:c>
      <x:c r="B31" s="36" t="str">
        <x:v>Рыбалкин Егор</x:v>
      </x:c>
      <x:c r="C31" s="36" t="str">
        <x:v>SOUTHCENTER</x:v>
      </x:c>
      <x:c r="D31" s="36" t="str">
        <x:v>Югоцентр</x:v>
      </x:c>
      <x:c r="E31" s="36" t="str">
        <x:v>10:00</x:v>
      </x:c>
      <x:c r="F31" s="36" t="str">
        <x:v>22:00</x:v>
      </x:c>
      <x:c r="G31" s="36" t="str">
        <x:v>OFFICE-SOUTHCENTER</x:v>
      </x:c>
      <x:c r="H31" s="36" t="str">
        <x:v>CAR</x:v>
      </x:c>
      <x:c r="I31" s="37" t="b">
        <x:v>1</x:v>
      </x:c>
      <x:c r="J31" s="36" t="n">
        <x:v>10</x:v>
      </x:c>
      <x:c r="K31" s="36" t="n">
        <x:v>600</x:v>
      </x:c>
      <x:c r="L31" s="36" t="str">
        <x:v>hybrid_synthetic_v1</x:v>
      </x:c>
    </x:row>
    <x:row r="32" ht="15" hidden="0" customHeight="1">
      <x:c r="A32" s="36" t="str">
        <x:v>SOUTHCENTER-ENG-07</x:v>
      </x:c>
      <x:c r="B32" s="36" t="str">
        <x:v>Переладов Алексей</x:v>
      </x:c>
      <x:c r="C32" s="36" t="str">
        <x:v>SOUTHCENTER</x:v>
      </x:c>
      <x:c r="D32" s="36" t="str">
        <x:v>Югоцентр</x:v>
      </x:c>
      <x:c r="E32" s="36" t="str">
        <x:v>12:00</x:v>
      </x:c>
      <x:c r="F32" s="36" t="str">
        <x:v>22:00</x:v>
      </x:c>
      <x:c r="G32" s="36" t="str">
        <x:v>OFFICE-SOUTHCENTER</x:v>
      </x:c>
      <x:c r="H32" s="36" t="str">
        <x:v>PUBLIC_TRANSIT</x:v>
      </x:c>
      <x:c r="I32" s="37" t="b">
        <x:v>1</x:v>
      </x:c>
      <x:c r="J32" s="36" t="n">
        <x:v>10</x:v>
      </x:c>
      <x:c r="K32" s="36" t="n">
        <x:v>600</x:v>
      </x:c>
      <x:c r="L32" s="36" t="str">
        <x:v>hybrid_synthetic_v1</x:v>
      </x:c>
    </x:row>
    <x:row r="33" ht="15" hidden="0" customHeight="1">
      <x:c r="A33" s="36" t="str">
        <x:v>SOUTHCENTER-ENG-08</x:v>
      </x:c>
      <x:c r="B33" s="36" t="str">
        <x:v>Бахарев Андрей</x:v>
      </x:c>
      <x:c r="C33" s="36" t="str">
        <x:v>SOUTHCENTER</x:v>
      </x:c>
      <x:c r="D33" s="36" t="str">
        <x:v>Югоцентр</x:v>
      </x:c>
      <x:c r="E33" s="36" t="str">
        <x:v>10:00</x:v>
      </x:c>
      <x:c r="F33" s="36" t="str">
        <x:v>22:00</x:v>
      </x:c>
      <x:c r="G33" s="36" t="str">
        <x:v>OFFICE-SOUTHCENTER</x:v>
      </x:c>
      <x:c r="H33" s="36" t="str">
        <x:v>CAR</x:v>
      </x:c>
      <x:c r="I33" s="37" t="b">
        <x:v>1</x:v>
      </x:c>
      <x:c r="J33" s="36" t="n">
        <x:v>10</x:v>
      </x:c>
      <x:c r="K33" s="36" t="n">
        <x:v>600</x:v>
      </x:c>
      <x:c r="L33" s="36" t="str">
        <x:v>hybrid_synthetic_v1</x:v>
      </x:c>
    </x:row>
    <x:row r="34" ht="15" hidden="0" customHeight="1">
      <x:c r="A34" s="36" t="str">
        <x:v>SOUTHCENTER-ENG-09</x:v>
      </x:c>
      <x:c r="B34" s="36" t="str">
        <x:v>Капитанчук Александр</x:v>
      </x:c>
      <x:c r="C34" s="36" t="str">
        <x:v>SOUTHCENTER</x:v>
      </x:c>
      <x:c r="D34" s="36" t="str">
        <x:v>Югоцентр</x:v>
      </x:c>
      <x:c r="E34" s="36" t="str">
        <x:v>10:00</x:v>
      </x:c>
      <x:c r="F34" s="36" t="str">
        <x:v>22:00</x:v>
      </x:c>
      <x:c r="G34" s="36" t="str">
        <x:v>OFFICE-SOUTHCENTER</x:v>
      </x:c>
      <x:c r="H34" s="36" t="str">
        <x:v>BICYCLE</x:v>
      </x:c>
      <x:c r="I34" s="37" t="b">
        <x:v>1</x:v>
      </x:c>
      <x:c r="J34" s="36" t="n">
        <x:v>10</x:v>
      </x:c>
      <x:c r="K34" s="36" t="n">
        <x:v>600</x:v>
      </x:c>
      <x:c r="L34" s="36" t="str">
        <x:v>hybrid_synthetic_v1</x:v>
      </x:c>
    </x:row>
    <x:row r="35" ht="15" hidden="0" customHeight="1">
      <x:c r="A35" s="36" t="str">
        <x:v>SOUTHCENTER-ENG-10</x:v>
      </x:c>
      <x:c r="B35" s="36" t="str">
        <x:v>Данилов Даниил</x:v>
      </x:c>
      <x:c r="C35" s="36" t="str">
        <x:v>SOUTHCENTER</x:v>
      </x:c>
      <x:c r="D35" s="36" t="str">
        <x:v>Югоцентр</x:v>
      </x:c>
      <x:c r="E35" s="36" t="str">
        <x:v>12:00</x:v>
      </x:c>
      <x:c r="F35" s="36" t="str">
        <x:v>22:00</x:v>
      </x:c>
      <x:c r="G35" s="36" t="str">
        <x:v>OFFICE-SOUTHCENTER</x:v>
      </x:c>
      <x:c r="H35" s="36" t="str">
        <x:v>CAR</x:v>
      </x:c>
      <x:c r="I35" s="37" t="b">
        <x:v>1</x:v>
      </x:c>
      <x:c r="J35" s="36" t="n">
        <x:v>10</x:v>
      </x:c>
      <x:c r="K35" s="36" t="n">
        <x:v>600</x:v>
      </x:c>
      <x:c r="L35" s="36" t="str">
        <x:v>hybrid_synthetic_v1</x:v>
      </x:c>
    </x:row>
    <x:row r="36" ht="15" hidden="0" customHeight="1">
      <x:c r="A36" s="36" t="str">
        <x:v>SOUTHCENTER-ENG-11</x:v>
      </x:c>
      <x:c r="B36" s="36" t="str">
        <x:v>Выговский Сергей</x:v>
      </x:c>
      <x:c r="C36" s="36" t="str">
        <x:v>SOUTHCENTER</x:v>
      </x:c>
      <x:c r="D36" s="36" t="str">
        <x:v>Югоцентр</x:v>
      </x:c>
      <x:c r="E36" s="36" t="str">
        <x:v>10:00</x:v>
      </x:c>
      <x:c r="F36" s="36" t="str">
        <x:v>22:00</x:v>
      </x:c>
      <x:c r="G36" s="36" t="str">
        <x:v>OFFICE-SOUTHCENTER</x:v>
      </x:c>
      <x:c r="H36" s="36" t="str">
        <x:v>CAR</x:v>
      </x:c>
      <x:c r="I36" s="37" t="b">
        <x:v>1</x:v>
      </x:c>
      <x:c r="J36" s="36" t="n">
        <x:v>10</x:v>
      </x:c>
      <x:c r="K36" s="36" t="n">
        <x:v>600</x:v>
      </x:c>
      <x:c r="L36" s="36" t="str">
        <x:v>hybrid_synthetic_v1</x:v>
      </x:c>
    </x:row>
  </x:sheetData>
  <x:pageMargins left="0.7" right="0.7" top="0.75" bottom="0.75" header="0.3" footer="0.3"/>
  <x:tableParts count="1">
    <x:tablePart xmlns:r="http://schemas.openxmlformats.org/officeDocument/2006/relationships" r:id="R03a34e74309d454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54" hidden="0" customWidth="1"/>
  </x:cols>
  <x:sheetData>
    <x:row r="1" ht="15" hidden="0" customHeight="1">
      <x:c r="A1" s="46" t="str">
        <x:v>skill_id</x:v>
      </x:c>
      <x:c r="B1" s="47" t="str">
        <x:v>skill_name</x:v>
      </x:c>
      <x:c r="C1" s="48" t="str">
        <x:v>description</x:v>
      </x:c>
    </x:row>
    <x:row r="2" ht="15" hidden="0" customHeight="1">
      <x:c r="A2" s="36" t="str">
        <x:v>LOCAL</x:v>
      </x:c>
      <x:c r="B2" s="36" t="str">
        <x:v>Локальные работы</x:v>
      </x:c>
      <x:c r="C2" s="36" t="str">
        <x:v>Диагностика и устранение локальных неисправностей</x:v>
      </x:c>
    </x:row>
    <x:row r="3" ht="15" hidden="0" customHeight="1">
      <x:c r="A3" s="36" t="str">
        <x:v>INSTALL</x:v>
      </x:c>
      <x:c r="B3" s="36" t="str">
        <x:v>Подключение и дозаказы</x:v>
      </x:c>
      <x:c r="C3" s="36" t="str">
        <x:v>Подключение услуг, установка и замена оборудования</x:v>
      </x:c>
    </x:row>
    <x:row r="4" ht="15" hidden="0" customHeight="1">
      <x:c r="A4" s="36" t="str">
        <x:v>EMERGENCY</x:v>
      </x:c>
      <x:c r="B4" s="36" t="str">
        <x:v>Аварийные работы</x:v>
      </x:c>
      <x:c r="C4" s="36" t="str">
        <x:v>Устранение аварий и глобальных проблем</x:v>
      </x:c>
    </x:row>
  </x:sheetData>
  <x:pageMargins left="0.7" right="0.7" top="0.75" bottom="0.75" header="0.3" footer="0.3"/>
  <x:tableParts count="1">
    <x:tablePart xmlns:r="http://schemas.openxmlformats.org/officeDocument/2006/relationships" r:id="Rc4b0e8751a7e45f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4" hidden="0" customWidth="1"/>
  </x:cols>
  <x:sheetData>
    <x:row r="1" ht="15" hidden="0" customHeight="1">
      <x:c r="A1" s="46" t="str">
        <x:v>engineer_id</x:v>
      </x:c>
      <x:c r="B1" s="48" t="str">
        <x:v>skill_id</x:v>
      </x:c>
    </x:row>
    <x:row r="2" ht="15" hidden="0" customHeight="1">
      <x:c r="A2" s="36" t="str">
        <x:v>EAST-ENG-01</x:v>
      </x:c>
      <x:c r="B2" s="36" t="str">
        <x:v>LOCAL</x:v>
      </x:c>
    </x:row>
    <x:row r="3" ht="15" hidden="0" customHeight="1">
      <x:c r="A3" s="36" t="str">
        <x:v>EAST-ENG-01</x:v>
      </x:c>
      <x:c r="B3" s="36" t="str">
        <x:v>INSTALL</x:v>
      </x:c>
    </x:row>
    <x:row r="4" ht="15" hidden="0" customHeight="1">
      <x:c r="A4" s="36" t="str">
        <x:v>EAST-ENG-01</x:v>
      </x:c>
      <x:c r="B4" s="36" t="str">
        <x:v>EMERGENCY</x:v>
      </x:c>
    </x:row>
    <x:row r="5" ht="15" hidden="0" customHeight="1">
      <x:c r="A5" s="36" t="str">
        <x:v>EAST-ENG-02</x:v>
      </x:c>
      <x:c r="B5" s="36" t="str">
        <x:v>LOCAL</x:v>
      </x:c>
    </x:row>
    <x:row r="6" ht="15" hidden="0" customHeight="1">
      <x:c r="A6" s="36" t="str">
        <x:v>EAST-ENG-03</x:v>
      </x:c>
      <x:c r="B6" s="36" t="str">
        <x:v>INSTALL</x:v>
      </x:c>
    </x:row>
    <x:row r="7" ht="15" hidden="0" customHeight="1">
      <x:c r="A7" s="36" t="str">
        <x:v>EAST-ENG-04</x:v>
      </x:c>
      <x:c r="B7" s="36" t="str">
        <x:v>EMERGENCY</x:v>
      </x:c>
    </x:row>
    <x:row r="8" ht="15" hidden="0" customHeight="1">
      <x:c r="A8" s="36" t="str">
        <x:v>EAST-ENG-05</x:v>
      </x:c>
      <x:c r="B8" s="36" t="str">
        <x:v>LOCAL</x:v>
      </x:c>
    </x:row>
    <x:row r="9" ht="15" hidden="0" customHeight="1">
      <x:c r="A9" s="36" t="str">
        <x:v>EAST-ENG-05</x:v>
      </x:c>
      <x:c r="B9" s="36" t="str">
        <x:v>INSTALL</x:v>
      </x:c>
    </x:row>
    <x:row r="10" ht="15" hidden="0" customHeight="1">
      <x:c r="A10" s="36" t="str">
        <x:v>EAST-ENG-06</x:v>
      </x:c>
      <x:c r="B10" s="36" t="str">
        <x:v>LOCAL</x:v>
      </x:c>
    </x:row>
    <x:row r="11" ht="15" hidden="0" customHeight="1">
      <x:c r="A11" s="36" t="str">
        <x:v>EAST-ENG-06</x:v>
      </x:c>
      <x:c r="B11" s="36" t="str">
        <x:v>EMERGENCY</x:v>
      </x:c>
    </x:row>
    <x:row r="12" ht="15" hidden="0" customHeight="1">
      <x:c r="A12" s="36" t="str">
        <x:v>EAST-ENG-07</x:v>
      </x:c>
      <x:c r="B12" s="36" t="str">
        <x:v>INSTALL</x:v>
      </x:c>
    </x:row>
    <x:row r="13" ht="15" hidden="0" customHeight="1">
      <x:c r="A13" s="36" t="str">
        <x:v>EAST-ENG-07</x:v>
      </x:c>
      <x:c r="B13" s="36" t="str">
        <x:v>EMERGENCY</x:v>
      </x:c>
    </x:row>
    <x:row r="14" ht="15" hidden="0" customHeight="1">
      <x:c r="A14" s="36" t="str">
        <x:v>EAST-ENG-08</x:v>
      </x:c>
      <x:c r="B14" s="36" t="str">
        <x:v>LOCAL</x:v>
      </x:c>
    </x:row>
    <x:row r="15" ht="15" hidden="0" customHeight="1">
      <x:c r="A15" s="36" t="str">
        <x:v>EAST-ENG-08</x:v>
      </x:c>
      <x:c r="B15" s="36" t="str">
        <x:v>INSTALL</x:v>
      </x:c>
    </x:row>
    <x:row r="16" ht="15" hidden="0" customHeight="1">
      <x:c r="A16" s="36" t="str">
        <x:v>EAST-ENG-09</x:v>
      </x:c>
      <x:c r="B16" s="36" t="str">
        <x:v>LOCAL</x:v>
      </x:c>
    </x:row>
    <x:row r="17" ht="15" hidden="0" customHeight="1">
      <x:c r="A17" s="36" t="str">
        <x:v>EAST-ENG-09</x:v>
      </x:c>
      <x:c r="B17" s="36" t="str">
        <x:v>EMERGENCY</x:v>
      </x:c>
    </x:row>
    <x:row r="18" ht="15" hidden="0" customHeight="1">
      <x:c r="A18" s="36" t="str">
        <x:v>EAST-ENG-10</x:v>
      </x:c>
      <x:c r="B18" s="36" t="str">
        <x:v>INSTALL</x:v>
      </x:c>
    </x:row>
    <x:row r="19" ht="15" hidden="0" customHeight="1">
      <x:c r="A19" s="36" t="str">
        <x:v>EAST-ENG-10</x:v>
      </x:c>
      <x:c r="B19" s="36" t="str">
        <x:v>EMERGENCY</x:v>
      </x:c>
    </x:row>
    <x:row r="20" ht="15" hidden="0" customHeight="1">
      <x:c r="A20" s="36" t="str">
        <x:v>EAST-ENG-11</x:v>
      </x:c>
      <x:c r="B20" s="36" t="str">
        <x:v>LOCAL</x:v>
      </x:c>
    </x:row>
    <x:row r="21" ht="15" hidden="0" customHeight="1">
      <x:c r="A21" s="36" t="str">
        <x:v>EAST-ENG-11</x:v>
      </x:c>
      <x:c r="B21" s="36" t="str">
        <x:v>INSTALL</x:v>
      </x:c>
    </x:row>
    <x:row r="22" ht="15" hidden="0" customHeight="1">
      <x:c r="A22" s="36" t="str">
        <x:v>EAST-ENG-11</x:v>
      </x:c>
      <x:c r="B22" s="36" t="str">
        <x:v>EMERGENCY</x:v>
      </x:c>
    </x:row>
    <x:row r="23" ht="15" hidden="0" customHeight="1">
      <x:c r="A23" s="36" t="str">
        <x:v>EAST-ENG-12</x:v>
      </x:c>
      <x:c r="B23" s="36" t="str">
        <x:v>LOCAL</x:v>
      </x:c>
    </x:row>
    <x:row r="24" ht="15" hidden="0" customHeight="1">
      <x:c r="A24" s="36" t="str">
        <x:v>EAST-ENG-12</x:v>
      </x:c>
      <x:c r="B24" s="36" t="str">
        <x:v>INSTALL</x:v>
      </x:c>
    </x:row>
    <x:row r="25" ht="15" hidden="0" customHeight="1">
      <x:c r="A25" s="36" t="str">
        <x:v>SOUTHEAST-ENG-01</x:v>
      </x:c>
      <x:c r="B25" s="36" t="str">
        <x:v>LOCAL</x:v>
      </x:c>
    </x:row>
    <x:row r="26" ht="15" hidden="0" customHeight="1">
      <x:c r="A26" s="36" t="str">
        <x:v>SOUTHEAST-ENG-01</x:v>
      </x:c>
      <x:c r="B26" s="36" t="str">
        <x:v>INSTALL</x:v>
      </x:c>
    </x:row>
    <x:row r="27" ht="15" hidden="0" customHeight="1">
      <x:c r="A27" s="36" t="str">
        <x:v>SOUTHEAST-ENG-01</x:v>
      </x:c>
      <x:c r="B27" s="36" t="str">
        <x:v>EMERGENCY</x:v>
      </x:c>
    </x:row>
    <x:row r="28" ht="15" hidden="0" customHeight="1">
      <x:c r="A28" s="36" t="str">
        <x:v>SOUTHEAST-ENG-02</x:v>
      </x:c>
      <x:c r="B28" s="36" t="str">
        <x:v>LOCAL</x:v>
      </x:c>
    </x:row>
    <x:row r="29" ht="15" hidden="0" customHeight="1">
      <x:c r="A29" s="36" t="str">
        <x:v>SOUTHEAST-ENG-03</x:v>
      </x:c>
      <x:c r="B29" s="36" t="str">
        <x:v>INSTALL</x:v>
      </x:c>
    </x:row>
    <x:row r="30" ht="15" hidden="0" customHeight="1">
      <x:c r="A30" s="36" t="str">
        <x:v>SOUTHEAST-ENG-04</x:v>
      </x:c>
      <x:c r="B30" s="36" t="str">
        <x:v>EMERGENCY</x:v>
      </x:c>
    </x:row>
    <x:row r="31" ht="15" hidden="0" customHeight="1">
      <x:c r="A31" s="36" t="str">
        <x:v>SOUTHEAST-ENG-05</x:v>
      </x:c>
      <x:c r="B31" s="36" t="str">
        <x:v>LOCAL</x:v>
      </x:c>
    </x:row>
    <x:row r="32" ht="15" hidden="0" customHeight="1">
      <x:c r="A32" s="36" t="str">
        <x:v>SOUTHEAST-ENG-05</x:v>
      </x:c>
      <x:c r="B32" s="36" t="str">
        <x:v>INSTALL</x:v>
      </x:c>
    </x:row>
    <x:row r="33" ht="15" hidden="0" customHeight="1">
      <x:c r="A33" s="36" t="str">
        <x:v>SOUTHEAST-ENG-06</x:v>
      </x:c>
      <x:c r="B33" s="36" t="str">
        <x:v>LOCAL</x:v>
      </x:c>
    </x:row>
    <x:row r="34" ht="15" hidden="0" customHeight="1">
      <x:c r="A34" s="36" t="str">
        <x:v>SOUTHEAST-ENG-06</x:v>
      </x:c>
      <x:c r="B34" s="36" t="str">
        <x:v>EMERGENCY</x:v>
      </x:c>
    </x:row>
    <x:row r="35" ht="15" hidden="0" customHeight="1">
      <x:c r="A35" s="36" t="str">
        <x:v>SOUTHEAST-ENG-07</x:v>
      </x:c>
      <x:c r="B35" s="36" t="str">
        <x:v>INSTALL</x:v>
      </x:c>
    </x:row>
    <x:row r="36" ht="15" hidden="0" customHeight="1">
      <x:c r="A36" s="36" t="str">
        <x:v>SOUTHEAST-ENG-07</x:v>
      </x:c>
      <x:c r="B36" s="36" t="str">
        <x:v>EMERGENCY</x:v>
      </x:c>
    </x:row>
    <x:row r="37" ht="15" hidden="0" customHeight="1">
      <x:c r="A37" s="36" t="str">
        <x:v>SOUTHEAST-ENG-08</x:v>
      </x:c>
      <x:c r="B37" s="36" t="str">
        <x:v>LOCAL</x:v>
      </x:c>
    </x:row>
    <x:row r="38" ht="15" hidden="0" customHeight="1">
      <x:c r="A38" s="36" t="str">
        <x:v>SOUTHEAST-ENG-08</x:v>
      </x:c>
      <x:c r="B38" s="36" t="str">
        <x:v>INSTALL</x:v>
      </x:c>
    </x:row>
    <x:row r="39" ht="15" hidden="0" customHeight="1">
      <x:c r="A39" s="36" t="str">
        <x:v>SOUTHEAST-ENG-09</x:v>
      </x:c>
      <x:c r="B39" s="36" t="str">
        <x:v>LOCAL</x:v>
      </x:c>
    </x:row>
    <x:row r="40" ht="15" hidden="0" customHeight="1">
      <x:c r="A40" s="36" t="str">
        <x:v>SOUTHEAST-ENG-09</x:v>
      </x:c>
      <x:c r="B40" s="36" t="str">
        <x:v>EMERGENCY</x:v>
      </x:c>
    </x:row>
    <x:row r="41" ht="15" hidden="0" customHeight="1">
      <x:c r="A41" s="36" t="str">
        <x:v>SOUTHEAST-ENG-10</x:v>
      </x:c>
      <x:c r="B41" s="36" t="str">
        <x:v>INSTALL</x:v>
      </x:c>
    </x:row>
    <x:row r="42" ht="15" hidden="0" customHeight="1">
      <x:c r="A42" s="36" t="str">
        <x:v>SOUTHEAST-ENG-10</x:v>
      </x:c>
      <x:c r="B42" s="36" t="str">
        <x:v>EMERGENCY</x:v>
      </x:c>
    </x:row>
    <x:row r="43" ht="15" hidden="0" customHeight="1">
      <x:c r="A43" s="36" t="str">
        <x:v>SOUTHEAST-ENG-11</x:v>
      </x:c>
      <x:c r="B43" s="36" t="str">
        <x:v>LOCAL</x:v>
      </x:c>
    </x:row>
    <x:row r="44" ht="15" hidden="0" customHeight="1">
      <x:c r="A44" s="36" t="str">
        <x:v>SOUTHEAST-ENG-11</x:v>
      </x:c>
      <x:c r="B44" s="36" t="str">
        <x:v>INSTALL</x:v>
      </x:c>
    </x:row>
    <x:row r="45" ht="15" hidden="0" customHeight="1">
      <x:c r="A45" s="36" t="str">
        <x:v>SOUTHEAST-ENG-11</x:v>
      </x:c>
      <x:c r="B45" s="36" t="str">
        <x:v>EMERGENCY</x:v>
      </x:c>
    </x:row>
    <x:row r="46" ht="15" hidden="0" customHeight="1">
      <x:c r="A46" s="36" t="str">
        <x:v>SOUTHEAST-ENG-12</x:v>
      </x:c>
      <x:c r="B46" s="36" t="str">
        <x:v>LOCAL</x:v>
      </x:c>
    </x:row>
    <x:row r="47" ht="15" hidden="0" customHeight="1">
      <x:c r="A47" s="36" t="str">
        <x:v>SOUTHEAST-ENG-12</x:v>
      </x:c>
      <x:c r="B47" s="36" t="str">
        <x:v>INSTALL</x:v>
      </x:c>
    </x:row>
    <x:row r="48" ht="15" hidden="0" customHeight="1">
      <x:c r="A48" s="36" t="str">
        <x:v>SOUTHCENTER-ENG-01</x:v>
      </x:c>
      <x:c r="B48" s="36" t="str">
        <x:v>LOCAL</x:v>
      </x:c>
    </x:row>
    <x:row r="49" ht="15" hidden="0" customHeight="1">
      <x:c r="A49" s="36" t="str">
        <x:v>SOUTHCENTER-ENG-01</x:v>
      </x:c>
      <x:c r="B49" s="36" t="str">
        <x:v>INSTALL</x:v>
      </x:c>
    </x:row>
    <x:row r="50" ht="15" hidden="0" customHeight="1">
      <x:c r="A50" s="36" t="str">
        <x:v>SOUTHCENTER-ENG-01</x:v>
      </x:c>
      <x:c r="B50" s="36" t="str">
        <x:v>EMERGENCY</x:v>
      </x:c>
    </x:row>
    <x:row r="51" ht="15" hidden="0" customHeight="1">
      <x:c r="A51" s="36" t="str">
        <x:v>SOUTHCENTER-ENG-02</x:v>
      </x:c>
      <x:c r="B51" s="36" t="str">
        <x:v>LOCAL</x:v>
      </x:c>
    </x:row>
    <x:row r="52" ht="15" hidden="0" customHeight="1">
      <x:c r="A52" s="36" t="str">
        <x:v>SOUTHCENTER-ENG-03</x:v>
      </x:c>
      <x:c r="B52" s="36" t="str">
        <x:v>INSTALL</x:v>
      </x:c>
    </x:row>
    <x:row r="53" ht="15" hidden="0" customHeight="1">
      <x:c r="A53" s="36" t="str">
        <x:v>SOUTHCENTER-ENG-04</x:v>
      </x:c>
      <x:c r="B53" s="36" t="str">
        <x:v>EMERGENCY</x:v>
      </x:c>
    </x:row>
    <x:row r="54" ht="15" hidden="0" customHeight="1">
      <x:c r="A54" s="36" t="str">
        <x:v>SOUTHCENTER-ENG-05</x:v>
      </x:c>
      <x:c r="B54" s="36" t="str">
        <x:v>LOCAL</x:v>
      </x:c>
    </x:row>
    <x:row r="55" ht="15" hidden="0" customHeight="1">
      <x:c r="A55" s="36" t="str">
        <x:v>SOUTHCENTER-ENG-05</x:v>
      </x:c>
      <x:c r="B55" s="36" t="str">
        <x:v>INSTALL</x:v>
      </x:c>
    </x:row>
    <x:row r="56" ht="15" hidden="0" customHeight="1">
      <x:c r="A56" s="36" t="str">
        <x:v>SOUTHCENTER-ENG-06</x:v>
      </x:c>
      <x:c r="B56" s="36" t="str">
        <x:v>LOCAL</x:v>
      </x:c>
    </x:row>
    <x:row r="57" ht="15" hidden="0" customHeight="1">
      <x:c r="A57" s="36" t="str">
        <x:v>SOUTHCENTER-ENG-06</x:v>
      </x:c>
      <x:c r="B57" s="36" t="str">
        <x:v>EMERGENCY</x:v>
      </x:c>
    </x:row>
    <x:row r="58" ht="15" hidden="0" customHeight="1">
      <x:c r="A58" s="36" t="str">
        <x:v>SOUTHCENTER-ENG-07</x:v>
      </x:c>
      <x:c r="B58" s="36" t="str">
        <x:v>INSTALL</x:v>
      </x:c>
    </x:row>
    <x:row r="59" ht="15" hidden="0" customHeight="1">
      <x:c r="A59" s="36" t="str">
        <x:v>SOUTHCENTER-ENG-07</x:v>
      </x:c>
      <x:c r="B59" s="36" t="str">
        <x:v>EMERGENCY</x:v>
      </x:c>
    </x:row>
    <x:row r="60" ht="15" hidden="0" customHeight="1">
      <x:c r="A60" s="36" t="str">
        <x:v>SOUTHCENTER-ENG-08</x:v>
      </x:c>
      <x:c r="B60" s="36" t="str">
        <x:v>LOCAL</x:v>
      </x:c>
    </x:row>
    <x:row r="61" ht="15" hidden="0" customHeight="1">
      <x:c r="A61" s="36" t="str">
        <x:v>SOUTHCENTER-ENG-08</x:v>
      </x:c>
      <x:c r="B61" s="36" t="str">
        <x:v>INSTALL</x:v>
      </x:c>
    </x:row>
    <x:row r="62" ht="15" hidden="0" customHeight="1">
      <x:c r="A62" s="36" t="str">
        <x:v>SOUTHCENTER-ENG-09</x:v>
      </x:c>
      <x:c r="B62" s="36" t="str">
        <x:v>LOCAL</x:v>
      </x:c>
    </x:row>
    <x:row r="63" ht="15" hidden="0" customHeight="1">
      <x:c r="A63" s="36" t="str">
        <x:v>SOUTHCENTER-ENG-09</x:v>
      </x:c>
      <x:c r="B63" s="36" t="str">
        <x:v>EMERGENCY</x:v>
      </x:c>
    </x:row>
    <x:row r="64" ht="15" hidden="0" customHeight="1">
      <x:c r="A64" s="36" t="str">
        <x:v>SOUTHCENTER-ENG-10</x:v>
      </x:c>
      <x:c r="B64" s="36" t="str">
        <x:v>INSTALL</x:v>
      </x:c>
    </x:row>
    <x:row r="65" ht="15" hidden="0" customHeight="1">
      <x:c r="A65" s="36" t="str">
        <x:v>SOUTHCENTER-ENG-10</x:v>
      </x:c>
      <x:c r="B65" s="36" t="str">
        <x:v>EMERGENCY</x:v>
      </x:c>
    </x:row>
    <x:row r="66" ht="15" hidden="0" customHeight="1">
      <x:c r="A66" s="36" t="str">
        <x:v>SOUTHCENTER-ENG-11</x:v>
      </x:c>
      <x:c r="B66" s="36" t="str">
        <x:v>LOCAL</x:v>
      </x:c>
    </x:row>
    <x:row r="67" ht="15" hidden="0" customHeight="1">
      <x:c r="A67" s="36" t="str">
        <x:v>SOUTHCENTER-ENG-11</x:v>
      </x:c>
      <x:c r="B67" s="36" t="str">
        <x:v>INSTALL</x:v>
      </x:c>
    </x:row>
    <x:row r="68" ht="15" hidden="0" customHeight="1">
      <x:c r="A68" s="36" t="str">
        <x:v>SOUTHCENTER-ENG-11</x:v>
      </x:c>
      <x:c r="B68" s="36" t="str">
        <x:v>EMERGENCY</x:v>
      </x:c>
    </x:row>
  </x:sheetData>
  <x:pageMargins left="0.7" right="0.7" top="0.75" bottom="0.75" header="0.3" footer="0.3"/>
  <x:tableParts count="1">
    <x:tablePart xmlns:r="http://schemas.openxmlformats.org/officeDocument/2006/relationships" r:id="Rb7596fad139c4e9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</x:cols>
  <x:sheetData>
    <x:row r="1" ht="15" hidden="0" customHeight="1">
      <x:c r="A1" s="46" t="str">
        <x:v>engineer_id</x:v>
      </x:c>
      <x:c r="B1" s="47" t="str">
        <x:v>equipment_id</x:v>
      </x:c>
      <x:c r="C1" s="48" t="str">
        <x:v>quantity</x:v>
      </x:c>
    </x:row>
    <x:row r="2" ht="15" hidden="0" customHeight="1">
      <x:c r="A2" s="36" t="str">
        <x:v>EAST-ENG-01</x:v>
      </x:c>
      <x:c r="B2" s="36" t="str">
        <x:v>DIAG_SET</x:v>
      </x:c>
      <x:c r="C2" s="36" t="n">
        <x:v>1</x:v>
      </x:c>
    </x:row>
    <x:row r="3" ht="15" hidden="0" customHeight="1">
      <x:c r="A3" s="36" t="str">
        <x:v>EAST-ENG-01</x:v>
      </x:c>
      <x:c r="B3" s="36" t="str">
        <x:v>INSTALL_SET</x:v>
      </x:c>
      <x:c r="C3" s="36" t="n">
        <x:v>1</x:v>
      </x:c>
    </x:row>
    <x:row r="4" ht="15" hidden="0" customHeight="1">
      <x:c r="A4" s="36" t="str">
        <x:v>EAST-ENG-01</x:v>
      </x:c>
      <x:c r="B4" s="36" t="str">
        <x:v>CABLE_SET</x:v>
      </x:c>
      <x:c r="C4" s="36" t="n">
        <x:v>1</x:v>
      </x:c>
    </x:row>
    <x:row r="5" ht="15" hidden="0" customHeight="1">
      <x:c r="A5" s="36" t="str">
        <x:v>EAST-ENG-02</x:v>
      </x:c>
      <x:c r="B5" s="36" t="str">
        <x:v>DIAG_SET</x:v>
      </x:c>
      <x:c r="C5" s="36" t="n">
        <x:v>1</x:v>
      </x:c>
    </x:row>
    <x:row r="6" ht="15" hidden="0" customHeight="1">
      <x:c r="A6" s="36" t="str">
        <x:v>EAST-ENG-03</x:v>
      </x:c>
      <x:c r="B6" s="36" t="str">
        <x:v>DIAG_SET</x:v>
      </x:c>
      <x:c r="C6" s="36" t="n">
        <x:v>1</x:v>
      </x:c>
    </x:row>
    <x:row r="7" ht="15" hidden="0" customHeight="1">
      <x:c r="A7" s="36" t="str">
        <x:v>EAST-ENG-03</x:v>
      </x:c>
      <x:c r="B7" s="36" t="str">
        <x:v>INSTALL_SET</x:v>
      </x:c>
      <x:c r="C7" s="36" t="n">
        <x:v>1</x:v>
      </x:c>
    </x:row>
    <x:row r="8" ht="15" hidden="0" customHeight="1">
      <x:c r="A8" s="36" t="str">
        <x:v>EAST-ENG-04</x:v>
      </x:c>
      <x:c r="B8" s="36" t="str">
        <x:v>DIAG_SET</x:v>
      </x:c>
      <x:c r="C8" s="36" t="n">
        <x:v>1</x:v>
      </x:c>
    </x:row>
    <x:row r="9" ht="15" hidden="0" customHeight="1">
      <x:c r="A9" s="36" t="str">
        <x:v>EAST-ENG-04</x:v>
      </x:c>
      <x:c r="B9" s="36" t="str">
        <x:v>CABLE_SET</x:v>
      </x:c>
      <x:c r="C9" s="36" t="n">
        <x:v>1</x:v>
      </x:c>
    </x:row>
    <x:row r="10" ht="15" hidden="0" customHeight="1">
      <x:c r="A10" s="36" t="str">
        <x:v>EAST-ENG-05</x:v>
      </x:c>
      <x:c r="B10" s="36" t="str">
        <x:v>DIAG_SET</x:v>
      </x:c>
      <x:c r="C10" s="36" t="n">
        <x:v>1</x:v>
      </x:c>
    </x:row>
    <x:row r="11" ht="15" hidden="0" customHeight="1">
      <x:c r="A11" s="36" t="str">
        <x:v>EAST-ENG-05</x:v>
      </x:c>
      <x:c r="B11" s="36" t="str">
        <x:v>INSTALL_SET</x:v>
      </x:c>
      <x:c r="C11" s="36" t="n">
        <x:v>1</x:v>
      </x:c>
    </x:row>
    <x:row r="12" ht="15" hidden="0" customHeight="1">
      <x:c r="A12" s="36" t="str">
        <x:v>EAST-ENG-06</x:v>
      </x:c>
      <x:c r="B12" s="36" t="str">
        <x:v>DIAG_SET</x:v>
      </x:c>
      <x:c r="C12" s="36" t="n">
        <x:v>1</x:v>
      </x:c>
    </x:row>
    <x:row r="13" ht="15" hidden="0" customHeight="1">
      <x:c r="A13" s="36" t="str">
        <x:v>EAST-ENG-06</x:v>
      </x:c>
      <x:c r="B13" s="36" t="str">
        <x:v>CABLE_SET</x:v>
      </x:c>
      <x:c r="C13" s="36" t="n">
        <x:v>1</x:v>
      </x:c>
    </x:row>
    <x:row r="14" ht="15" hidden="0" customHeight="1">
      <x:c r="A14" s="36" t="str">
        <x:v>EAST-ENG-07</x:v>
      </x:c>
      <x:c r="B14" s="36" t="str">
        <x:v>DIAG_SET</x:v>
      </x:c>
      <x:c r="C14" s="36" t="n">
        <x:v>1</x:v>
      </x:c>
    </x:row>
    <x:row r="15" ht="15" hidden="0" customHeight="1">
      <x:c r="A15" s="36" t="str">
        <x:v>EAST-ENG-07</x:v>
      </x:c>
      <x:c r="B15" s="36" t="str">
        <x:v>INSTALL_SET</x:v>
      </x:c>
      <x:c r="C15" s="36" t="n">
        <x:v>1</x:v>
      </x:c>
    </x:row>
    <x:row r="16" ht="15" hidden="0" customHeight="1">
      <x:c r="A16" s="36" t="str">
        <x:v>EAST-ENG-07</x:v>
      </x:c>
      <x:c r="B16" s="36" t="str">
        <x:v>CABLE_SET</x:v>
      </x:c>
      <x:c r="C16" s="36" t="n">
        <x:v>1</x:v>
      </x:c>
    </x:row>
    <x:row r="17" ht="15" hidden="0" customHeight="1">
      <x:c r="A17" s="36" t="str">
        <x:v>EAST-ENG-08</x:v>
      </x:c>
      <x:c r="B17" s="36" t="str">
        <x:v>DIAG_SET</x:v>
      </x:c>
      <x:c r="C17" s="36" t="n">
        <x:v>1</x:v>
      </x:c>
    </x:row>
    <x:row r="18" ht="15" hidden="0" customHeight="1">
      <x:c r="A18" s="36" t="str">
        <x:v>EAST-ENG-08</x:v>
      </x:c>
      <x:c r="B18" s="36" t="str">
        <x:v>INSTALL_SET</x:v>
      </x:c>
      <x:c r="C18" s="36" t="n">
        <x:v>1</x:v>
      </x:c>
    </x:row>
    <x:row r="19" ht="15" hidden="0" customHeight="1">
      <x:c r="A19" s="36" t="str">
        <x:v>EAST-ENG-09</x:v>
      </x:c>
      <x:c r="B19" s="36" t="str">
        <x:v>DIAG_SET</x:v>
      </x:c>
      <x:c r="C19" s="36" t="n">
        <x:v>1</x:v>
      </x:c>
    </x:row>
    <x:row r="20" ht="15" hidden="0" customHeight="1">
      <x:c r="A20" s="36" t="str">
        <x:v>EAST-ENG-09</x:v>
      </x:c>
      <x:c r="B20" s="36" t="str">
        <x:v>CABLE_SET</x:v>
      </x:c>
      <x:c r="C20" s="36" t="n">
        <x:v>1</x:v>
      </x:c>
    </x:row>
    <x:row r="21" ht="15" hidden="0" customHeight="1">
      <x:c r="A21" s="36" t="str">
        <x:v>EAST-ENG-10</x:v>
      </x:c>
      <x:c r="B21" s="36" t="str">
        <x:v>DIAG_SET</x:v>
      </x:c>
      <x:c r="C21" s="36" t="n">
        <x:v>1</x:v>
      </x:c>
    </x:row>
    <x:row r="22" ht="15" hidden="0" customHeight="1">
      <x:c r="A22" s="36" t="str">
        <x:v>EAST-ENG-10</x:v>
      </x:c>
      <x:c r="B22" s="36" t="str">
        <x:v>INSTALL_SET</x:v>
      </x:c>
      <x:c r="C22" s="36" t="n">
        <x:v>1</x:v>
      </x:c>
    </x:row>
    <x:row r="23" ht="15" hidden="0" customHeight="1">
      <x:c r="A23" s="36" t="str">
        <x:v>EAST-ENG-10</x:v>
      </x:c>
      <x:c r="B23" s="36" t="str">
        <x:v>CABLE_SET</x:v>
      </x:c>
      <x:c r="C23" s="36" t="n">
        <x:v>1</x:v>
      </x:c>
    </x:row>
    <x:row r="24" ht="15" hidden="0" customHeight="1">
      <x:c r="A24" s="36" t="str">
        <x:v>EAST-ENG-11</x:v>
      </x:c>
      <x:c r="B24" s="36" t="str">
        <x:v>DIAG_SET</x:v>
      </x:c>
      <x:c r="C24" s="36" t="n">
        <x:v>1</x:v>
      </x:c>
    </x:row>
    <x:row r="25" ht="15" hidden="0" customHeight="1">
      <x:c r="A25" s="36" t="str">
        <x:v>EAST-ENG-11</x:v>
      </x:c>
      <x:c r="B25" s="36" t="str">
        <x:v>INSTALL_SET</x:v>
      </x:c>
      <x:c r="C25" s="36" t="n">
        <x:v>1</x:v>
      </x:c>
    </x:row>
    <x:row r="26" ht="15" hidden="0" customHeight="1">
      <x:c r="A26" s="36" t="str">
        <x:v>EAST-ENG-11</x:v>
      </x:c>
      <x:c r="B26" s="36" t="str">
        <x:v>CABLE_SET</x:v>
      </x:c>
      <x:c r="C26" s="36" t="n">
        <x:v>1</x:v>
      </x:c>
    </x:row>
    <x:row r="27" ht="15" hidden="0" customHeight="1">
      <x:c r="A27" s="36" t="str">
        <x:v>EAST-ENG-12</x:v>
      </x:c>
      <x:c r="B27" s="36" t="str">
        <x:v>DIAG_SET</x:v>
      </x:c>
      <x:c r="C27" s="36" t="n">
        <x:v>1</x:v>
      </x:c>
    </x:row>
    <x:row r="28" ht="15" hidden="0" customHeight="1">
      <x:c r="A28" s="36" t="str">
        <x:v>EAST-ENG-12</x:v>
      </x:c>
      <x:c r="B28" s="36" t="str">
        <x:v>INSTALL_SET</x:v>
      </x:c>
      <x:c r="C28" s="36" t="n">
        <x:v>1</x:v>
      </x:c>
    </x:row>
    <x:row r="29" ht="15" hidden="0" customHeight="1">
      <x:c r="A29" s="36" t="str">
        <x:v>SOUTHEAST-ENG-01</x:v>
      </x:c>
      <x:c r="B29" s="36" t="str">
        <x:v>DIAG_SET</x:v>
      </x:c>
      <x:c r="C29" s="36" t="n">
        <x:v>1</x:v>
      </x:c>
    </x:row>
    <x:row r="30" ht="15" hidden="0" customHeight="1">
      <x:c r="A30" s="36" t="str">
        <x:v>SOUTHEAST-ENG-01</x:v>
      </x:c>
      <x:c r="B30" s="36" t="str">
        <x:v>INSTALL_SET</x:v>
      </x:c>
      <x:c r="C30" s="36" t="n">
        <x:v>1</x:v>
      </x:c>
    </x:row>
    <x:row r="31" ht="15" hidden="0" customHeight="1">
      <x:c r="A31" s="36" t="str">
        <x:v>SOUTHEAST-ENG-01</x:v>
      </x:c>
      <x:c r="B31" s="36" t="str">
        <x:v>CABLE_SET</x:v>
      </x:c>
      <x:c r="C31" s="36" t="n">
        <x:v>1</x:v>
      </x:c>
    </x:row>
    <x:row r="32" ht="15" hidden="0" customHeight="1">
      <x:c r="A32" s="36" t="str">
        <x:v>SOUTHEAST-ENG-02</x:v>
      </x:c>
      <x:c r="B32" s="36" t="str">
        <x:v>DIAG_SET</x:v>
      </x:c>
      <x:c r="C32" s="36" t="n">
        <x:v>1</x:v>
      </x:c>
    </x:row>
    <x:row r="33" ht="15" hidden="0" customHeight="1">
      <x:c r="A33" s="36" t="str">
        <x:v>SOUTHEAST-ENG-03</x:v>
      </x:c>
      <x:c r="B33" s="36" t="str">
        <x:v>DIAG_SET</x:v>
      </x:c>
      <x:c r="C33" s="36" t="n">
        <x:v>1</x:v>
      </x:c>
    </x:row>
    <x:row r="34" ht="15" hidden="0" customHeight="1">
      <x:c r="A34" s="36" t="str">
        <x:v>SOUTHEAST-ENG-03</x:v>
      </x:c>
      <x:c r="B34" s="36" t="str">
        <x:v>INSTALL_SET</x:v>
      </x:c>
      <x:c r="C34" s="36" t="n">
        <x:v>1</x:v>
      </x:c>
    </x:row>
    <x:row r="35" ht="15" hidden="0" customHeight="1">
      <x:c r="A35" s="36" t="str">
        <x:v>SOUTHEAST-ENG-04</x:v>
      </x:c>
      <x:c r="B35" s="36" t="str">
        <x:v>DIAG_SET</x:v>
      </x:c>
      <x:c r="C35" s="36" t="n">
        <x:v>1</x:v>
      </x:c>
    </x:row>
    <x:row r="36" ht="15" hidden="0" customHeight="1">
      <x:c r="A36" s="36" t="str">
        <x:v>SOUTHEAST-ENG-04</x:v>
      </x:c>
      <x:c r="B36" s="36" t="str">
        <x:v>CABLE_SET</x:v>
      </x:c>
      <x:c r="C36" s="36" t="n">
        <x:v>1</x:v>
      </x:c>
    </x:row>
    <x:row r="37" ht="15" hidden="0" customHeight="1">
      <x:c r="A37" s="36" t="str">
        <x:v>SOUTHEAST-ENG-05</x:v>
      </x:c>
      <x:c r="B37" s="36" t="str">
        <x:v>DIAG_SET</x:v>
      </x:c>
      <x:c r="C37" s="36" t="n">
        <x:v>1</x:v>
      </x:c>
    </x:row>
    <x:row r="38" ht="15" hidden="0" customHeight="1">
      <x:c r="A38" s="36" t="str">
        <x:v>SOUTHEAST-ENG-05</x:v>
      </x:c>
      <x:c r="B38" s="36" t="str">
        <x:v>INSTALL_SET</x:v>
      </x:c>
      <x:c r="C38" s="36" t="n">
        <x:v>1</x:v>
      </x:c>
    </x:row>
    <x:row r="39" ht="15" hidden="0" customHeight="1">
      <x:c r="A39" s="36" t="str">
        <x:v>SOUTHEAST-ENG-06</x:v>
      </x:c>
      <x:c r="B39" s="36" t="str">
        <x:v>DIAG_SET</x:v>
      </x:c>
      <x:c r="C39" s="36" t="n">
        <x:v>1</x:v>
      </x:c>
    </x:row>
    <x:row r="40" ht="15" hidden="0" customHeight="1">
      <x:c r="A40" s="36" t="str">
        <x:v>SOUTHEAST-ENG-06</x:v>
      </x:c>
      <x:c r="B40" s="36" t="str">
        <x:v>CABLE_SET</x:v>
      </x:c>
      <x:c r="C40" s="36" t="n">
        <x:v>1</x:v>
      </x:c>
    </x:row>
    <x:row r="41" ht="15" hidden="0" customHeight="1">
      <x:c r="A41" s="36" t="str">
        <x:v>SOUTHEAST-ENG-07</x:v>
      </x:c>
      <x:c r="B41" s="36" t="str">
        <x:v>DIAG_SET</x:v>
      </x:c>
      <x:c r="C41" s="36" t="n">
        <x:v>1</x:v>
      </x:c>
    </x:row>
    <x:row r="42" ht="15" hidden="0" customHeight="1">
      <x:c r="A42" s="36" t="str">
        <x:v>SOUTHEAST-ENG-07</x:v>
      </x:c>
      <x:c r="B42" s="36" t="str">
        <x:v>INSTALL_SET</x:v>
      </x:c>
      <x:c r="C42" s="36" t="n">
        <x:v>1</x:v>
      </x:c>
    </x:row>
    <x:row r="43" ht="15" hidden="0" customHeight="1">
      <x:c r="A43" s="36" t="str">
        <x:v>SOUTHEAST-ENG-07</x:v>
      </x:c>
      <x:c r="B43" s="36" t="str">
        <x:v>CABLE_SET</x:v>
      </x:c>
      <x:c r="C43" s="36" t="n">
        <x:v>1</x:v>
      </x:c>
    </x:row>
    <x:row r="44" ht="15" hidden="0" customHeight="1">
      <x:c r="A44" s="36" t="str">
        <x:v>SOUTHEAST-ENG-08</x:v>
      </x:c>
      <x:c r="B44" s="36" t="str">
        <x:v>DIAG_SET</x:v>
      </x:c>
      <x:c r="C44" s="36" t="n">
        <x:v>1</x:v>
      </x:c>
    </x:row>
    <x:row r="45" ht="15" hidden="0" customHeight="1">
      <x:c r="A45" s="36" t="str">
        <x:v>SOUTHEAST-ENG-08</x:v>
      </x:c>
      <x:c r="B45" s="36" t="str">
        <x:v>INSTALL_SET</x:v>
      </x:c>
      <x:c r="C45" s="36" t="n">
        <x:v>1</x:v>
      </x:c>
    </x:row>
    <x:row r="46" ht="15" hidden="0" customHeight="1">
      <x:c r="A46" s="36" t="str">
        <x:v>SOUTHEAST-ENG-09</x:v>
      </x:c>
      <x:c r="B46" s="36" t="str">
        <x:v>DIAG_SET</x:v>
      </x:c>
      <x:c r="C46" s="36" t="n">
        <x:v>1</x:v>
      </x:c>
    </x:row>
    <x:row r="47" ht="15" hidden="0" customHeight="1">
      <x:c r="A47" s="36" t="str">
        <x:v>SOUTHEAST-ENG-09</x:v>
      </x:c>
      <x:c r="B47" s="36" t="str">
        <x:v>CABLE_SET</x:v>
      </x:c>
      <x:c r="C47" s="36" t="n">
        <x:v>1</x:v>
      </x:c>
    </x:row>
    <x:row r="48" ht="15" hidden="0" customHeight="1">
      <x:c r="A48" s="36" t="str">
        <x:v>SOUTHEAST-ENG-10</x:v>
      </x:c>
      <x:c r="B48" s="36" t="str">
        <x:v>DIAG_SET</x:v>
      </x:c>
      <x:c r="C48" s="36" t="n">
        <x:v>1</x:v>
      </x:c>
    </x:row>
    <x:row r="49" ht="15" hidden="0" customHeight="1">
      <x:c r="A49" s="36" t="str">
        <x:v>SOUTHEAST-ENG-10</x:v>
      </x:c>
      <x:c r="B49" s="36" t="str">
        <x:v>INSTALL_SET</x:v>
      </x:c>
      <x:c r="C49" s="36" t="n">
        <x:v>1</x:v>
      </x:c>
    </x:row>
    <x:row r="50" ht="15" hidden="0" customHeight="1">
      <x:c r="A50" s="36" t="str">
        <x:v>SOUTHEAST-ENG-10</x:v>
      </x:c>
      <x:c r="B50" s="36" t="str">
        <x:v>CABLE_SET</x:v>
      </x:c>
      <x:c r="C50" s="36" t="n">
        <x:v>1</x:v>
      </x:c>
    </x:row>
    <x:row r="51" ht="15" hidden="0" customHeight="1">
      <x:c r="A51" s="36" t="str">
        <x:v>SOUTHEAST-ENG-11</x:v>
      </x:c>
      <x:c r="B51" s="36" t="str">
        <x:v>DIAG_SET</x:v>
      </x:c>
      <x:c r="C51" s="36" t="n">
        <x:v>1</x:v>
      </x:c>
    </x:row>
    <x:row r="52" ht="15" hidden="0" customHeight="1">
      <x:c r="A52" s="36" t="str">
        <x:v>SOUTHEAST-ENG-11</x:v>
      </x:c>
      <x:c r="B52" s="36" t="str">
        <x:v>INSTALL_SET</x:v>
      </x:c>
      <x:c r="C52" s="36" t="n">
        <x:v>1</x:v>
      </x:c>
    </x:row>
    <x:row r="53" ht="15" hidden="0" customHeight="1">
      <x:c r="A53" s="36" t="str">
        <x:v>SOUTHEAST-ENG-11</x:v>
      </x:c>
      <x:c r="B53" s="36" t="str">
        <x:v>CABLE_SET</x:v>
      </x:c>
      <x:c r="C53" s="36" t="n">
        <x:v>1</x:v>
      </x:c>
    </x:row>
    <x:row r="54" ht="15" hidden="0" customHeight="1">
      <x:c r="A54" s="36" t="str">
        <x:v>SOUTHEAST-ENG-12</x:v>
      </x:c>
      <x:c r="B54" s="36" t="str">
        <x:v>DIAG_SET</x:v>
      </x:c>
      <x:c r="C54" s="36" t="n">
        <x:v>1</x:v>
      </x:c>
    </x:row>
    <x:row r="55" ht="15" hidden="0" customHeight="1">
      <x:c r="A55" s="36" t="str">
        <x:v>SOUTHEAST-ENG-12</x:v>
      </x:c>
      <x:c r="B55" s="36" t="str">
        <x:v>INSTALL_SET</x:v>
      </x:c>
      <x:c r="C55" s="36" t="n">
        <x:v>1</x:v>
      </x:c>
    </x:row>
    <x:row r="56" ht="15" hidden="0" customHeight="1">
      <x:c r="A56" s="36" t="str">
        <x:v>SOUTHCENTER-ENG-01</x:v>
      </x:c>
      <x:c r="B56" s="36" t="str">
        <x:v>DIAG_SET</x:v>
      </x:c>
      <x:c r="C56" s="36" t="n">
        <x:v>1</x:v>
      </x:c>
    </x:row>
    <x:row r="57" ht="15" hidden="0" customHeight="1">
      <x:c r="A57" s="36" t="str">
        <x:v>SOUTHCENTER-ENG-01</x:v>
      </x:c>
      <x:c r="B57" s="36" t="str">
        <x:v>INSTALL_SET</x:v>
      </x:c>
      <x:c r="C57" s="36" t="n">
        <x:v>1</x:v>
      </x:c>
    </x:row>
    <x:row r="58" ht="15" hidden="0" customHeight="1">
      <x:c r="A58" s="36" t="str">
        <x:v>SOUTHCENTER-ENG-01</x:v>
      </x:c>
      <x:c r="B58" s="36" t="str">
        <x:v>CABLE_SET</x:v>
      </x:c>
      <x:c r="C58" s="36" t="n">
        <x:v>1</x:v>
      </x:c>
    </x:row>
    <x:row r="59" ht="15" hidden="0" customHeight="1">
      <x:c r="A59" s="36" t="str">
        <x:v>SOUTHCENTER-ENG-02</x:v>
      </x:c>
      <x:c r="B59" s="36" t="str">
        <x:v>DIAG_SET</x:v>
      </x:c>
      <x:c r="C59" s="36" t="n">
        <x:v>1</x:v>
      </x:c>
    </x:row>
    <x:row r="60" ht="15" hidden="0" customHeight="1">
      <x:c r="A60" s="36" t="str">
        <x:v>SOUTHCENTER-ENG-03</x:v>
      </x:c>
      <x:c r="B60" s="36" t="str">
        <x:v>DIAG_SET</x:v>
      </x:c>
      <x:c r="C60" s="36" t="n">
        <x:v>1</x:v>
      </x:c>
    </x:row>
    <x:row r="61" ht="15" hidden="0" customHeight="1">
      <x:c r="A61" s="36" t="str">
        <x:v>SOUTHCENTER-ENG-03</x:v>
      </x:c>
      <x:c r="B61" s="36" t="str">
        <x:v>INSTALL_SET</x:v>
      </x:c>
      <x:c r="C61" s="36" t="n">
        <x:v>1</x:v>
      </x:c>
    </x:row>
    <x:row r="62" ht="15" hidden="0" customHeight="1">
      <x:c r="A62" s="36" t="str">
        <x:v>SOUTHCENTER-ENG-04</x:v>
      </x:c>
      <x:c r="B62" s="36" t="str">
        <x:v>DIAG_SET</x:v>
      </x:c>
      <x:c r="C62" s="36" t="n">
        <x:v>1</x:v>
      </x:c>
    </x:row>
    <x:row r="63" ht="15" hidden="0" customHeight="1">
      <x:c r="A63" s="36" t="str">
        <x:v>SOUTHCENTER-ENG-04</x:v>
      </x:c>
      <x:c r="B63" s="36" t="str">
        <x:v>CABLE_SET</x:v>
      </x:c>
      <x:c r="C63" s="36" t="n">
        <x:v>1</x:v>
      </x:c>
    </x:row>
    <x:row r="64" ht="15" hidden="0" customHeight="1">
      <x:c r="A64" s="36" t="str">
        <x:v>SOUTHCENTER-ENG-05</x:v>
      </x:c>
      <x:c r="B64" s="36" t="str">
        <x:v>DIAG_SET</x:v>
      </x:c>
      <x:c r="C64" s="36" t="n">
        <x:v>1</x:v>
      </x:c>
    </x:row>
    <x:row r="65" ht="15" hidden="0" customHeight="1">
      <x:c r="A65" s="36" t="str">
        <x:v>SOUTHCENTER-ENG-05</x:v>
      </x:c>
      <x:c r="B65" s="36" t="str">
        <x:v>INSTALL_SET</x:v>
      </x:c>
      <x:c r="C65" s="36" t="n">
        <x:v>1</x:v>
      </x:c>
    </x:row>
    <x:row r="66" ht="15" hidden="0" customHeight="1">
      <x:c r="A66" s="36" t="str">
        <x:v>SOUTHCENTER-ENG-06</x:v>
      </x:c>
      <x:c r="B66" s="36" t="str">
        <x:v>DIAG_SET</x:v>
      </x:c>
      <x:c r="C66" s="36" t="n">
        <x:v>1</x:v>
      </x:c>
    </x:row>
    <x:row r="67" ht="15" hidden="0" customHeight="1">
      <x:c r="A67" s="36" t="str">
        <x:v>SOUTHCENTER-ENG-06</x:v>
      </x:c>
      <x:c r="B67" s="36" t="str">
        <x:v>CABLE_SET</x:v>
      </x:c>
      <x:c r="C67" s="36" t="n">
        <x:v>1</x:v>
      </x:c>
    </x:row>
    <x:row r="68" ht="15" hidden="0" customHeight="1">
      <x:c r="A68" s="36" t="str">
        <x:v>SOUTHCENTER-ENG-07</x:v>
      </x:c>
      <x:c r="B68" s="36" t="str">
        <x:v>DIAG_SET</x:v>
      </x:c>
      <x:c r="C68" s="36" t="n">
        <x:v>1</x:v>
      </x:c>
    </x:row>
    <x:row r="69" ht="15" hidden="0" customHeight="1">
      <x:c r="A69" s="36" t="str">
        <x:v>SOUTHCENTER-ENG-07</x:v>
      </x:c>
      <x:c r="B69" s="36" t="str">
        <x:v>INSTALL_SET</x:v>
      </x:c>
      <x:c r="C69" s="36" t="n">
        <x:v>1</x:v>
      </x:c>
    </x:row>
    <x:row r="70" ht="15" hidden="0" customHeight="1">
      <x:c r="A70" s="36" t="str">
        <x:v>SOUTHCENTER-ENG-07</x:v>
      </x:c>
      <x:c r="B70" s="36" t="str">
        <x:v>CABLE_SET</x:v>
      </x:c>
      <x:c r="C70" s="36" t="n">
        <x:v>1</x:v>
      </x:c>
    </x:row>
    <x:row r="71" ht="15" hidden="0" customHeight="1">
      <x:c r="A71" s="36" t="str">
        <x:v>SOUTHCENTER-ENG-08</x:v>
      </x:c>
      <x:c r="B71" s="36" t="str">
        <x:v>DIAG_SET</x:v>
      </x:c>
      <x:c r="C71" s="36" t="n">
        <x:v>1</x:v>
      </x:c>
    </x:row>
    <x:row r="72" ht="15" hidden="0" customHeight="1">
      <x:c r="A72" s="36" t="str">
        <x:v>SOUTHCENTER-ENG-08</x:v>
      </x:c>
      <x:c r="B72" s="36" t="str">
        <x:v>INSTALL_SET</x:v>
      </x:c>
      <x:c r="C72" s="36" t="n">
        <x:v>1</x:v>
      </x:c>
    </x:row>
    <x:row r="73" ht="15" hidden="0" customHeight="1">
      <x:c r="A73" s="36" t="str">
        <x:v>SOUTHCENTER-ENG-09</x:v>
      </x:c>
      <x:c r="B73" s="36" t="str">
        <x:v>DIAG_SET</x:v>
      </x:c>
      <x:c r="C73" s="36" t="n">
        <x:v>1</x:v>
      </x:c>
    </x:row>
    <x:row r="74" ht="15" hidden="0" customHeight="1">
      <x:c r="A74" s="36" t="str">
        <x:v>SOUTHCENTER-ENG-09</x:v>
      </x:c>
      <x:c r="B74" s="36" t="str">
        <x:v>CABLE_SET</x:v>
      </x:c>
      <x:c r="C74" s="36" t="n">
        <x:v>1</x:v>
      </x:c>
    </x:row>
    <x:row r="75" ht="15" hidden="0" customHeight="1">
      <x:c r="A75" s="36" t="str">
        <x:v>SOUTHCENTER-ENG-10</x:v>
      </x:c>
      <x:c r="B75" s="36" t="str">
        <x:v>DIAG_SET</x:v>
      </x:c>
      <x:c r="C75" s="36" t="n">
        <x:v>1</x:v>
      </x:c>
    </x:row>
    <x:row r="76" ht="15" hidden="0" customHeight="1">
      <x:c r="A76" s="36" t="str">
        <x:v>SOUTHCENTER-ENG-10</x:v>
      </x:c>
      <x:c r="B76" s="36" t="str">
        <x:v>INSTALL_SET</x:v>
      </x:c>
      <x:c r="C76" s="36" t="n">
        <x:v>1</x:v>
      </x:c>
    </x:row>
    <x:row r="77" ht="15" hidden="0" customHeight="1">
      <x:c r="A77" s="36" t="str">
        <x:v>SOUTHCENTER-ENG-10</x:v>
      </x:c>
      <x:c r="B77" s="36" t="str">
        <x:v>CABLE_SET</x:v>
      </x:c>
      <x:c r="C77" s="36" t="n">
        <x:v>1</x:v>
      </x:c>
    </x:row>
    <x:row r="78" ht="15" hidden="0" customHeight="1">
      <x:c r="A78" s="36" t="str">
        <x:v>SOUTHCENTER-ENG-11</x:v>
      </x:c>
      <x:c r="B78" s="36" t="str">
        <x:v>DIAG_SET</x:v>
      </x:c>
      <x:c r="C78" s="36" t="n">
        <x:v>1</x:v>
      </x:c>
    </x:row>
    <x:row r="79" ht="15" hidden="0" customHeight="1">
      <x:c r="A79" s="36" t="str">
        <x:v>SOUTHCENTER-ENG-11</x:v>
      </x:c>
      <x:c r="B79" s="36" t="str">
        <x:v>INSTALL_SET</x:v>
      </x:c>
      <x:c r="C79" s="36" t="n">
        <x:v>1</x:v>
      </x:c>
    </x:row>
    <x:row r="80" ht="15" hidden="0" customHeight="1">
      <x:c r="A80" s="36" t="str">
        <x:v>SOUTHCENTER-ENG-11</x:v>
      </x:c>
      <x:c r="B80" s="36" t="str">
        <x:v>CABLE_SET</x:v>
      </x:c>
      <x:c r="C80" s="3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9975b93eef644d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22" hidden="0" customWidth="1"/>
    <x:col min="7" max="7" width="28" hidden="0" customWidth="1"/>
  </x:cols>
  <x:sheetData>
    <x:row r="1" ht="15" hidden="0" customHeight="1">
      <x:c r="A1" s="46" t="str">
        <x:v>scenario</x:v>
      </x:c>
      <x:c r="B1" s="47" t="str">
        <x:v>zone_id</x:v>
      </x:c>
      <x:c r="C1" s="47" t="str">
        <x:v>zone_name</x:v>
      </x:c>
      <x:c r="D1" s="47" t="str">
        <x:v>equipment_id</x:v>
      </x:c>
      <x:c r="E1" s="47" t="str">
        <x:v>quantity_available</x:v>
      </x:c>
      <x:c r="F1" s="47" t="str">
        <x:v>reservation_policy</x:v>
      </x:c>
      <x:c r="G1" s="48" t="str">
        <x:v>replenishment_during_day</x:v>
      </x:c>
    </x:row>
    <x:row r="2" ht="15" hidden="0" customHeight="1">
      <x:c r="A2" s="36" t="str">
        <x:v>CORE</x:v>
      </x:c>
      <x:c r="B2" s="36" t="str">
        <x:v>EAST</x:v>
      </x:c>
      <x:c r="C2" s="36" t="str">
        <x:v>Восток</x:v>
      </x:c>
      <x:c r="D2" s="36" t="str">
        <x:v>ROUTER</x:v>
      </x:c>
      <x:c r="E2" s="36" t="n">
        <x:v>2</x:v>
      </x:c>
      <x:c r="F2" s="36" t="str">
        <x:v>RESERVE_AT_SHIFT_START</x:v>
      </x:c>
      <x:c r="G2" s="37" t="b">
        <x:v>0</x:v>
      </x:c>
    </x:row>
    <x:row r="3" ht="15" hidden="0" customHeight="1">
      <x:c r="A3" s="36" t="str">
        <x:v>CORE</x:v>
      </x:c>
      <x:c r="B3" s="36" t="str">
        <x:v>EAST</x:v>
      </x:c>
      <x:c r="C3" s="36" t="str">
        <x:v>Восток</x:v>
      </x:c>
      <x:c r="D3" s="36" t="str">
        <x:v>TV_BOX</x:v>
      </x:c>
      <x:c r="E3" s="36" t="n">
        <x:v>1</x:v>
      </x:c>
      <x:c r="F3" s="36" t="str">
        <x:v>RESERVE_AT_SHIFT_START</x:v>
      </x:c>
      <x:c r="G3" s="37" t="b">
        <x:v>0</x:v>
      </x:c>
    </x:row>
    <x:row r="4" ht="15" hidden="0" customHeight="1">
      <x:c r="A4" s="36" t="str">
        <x:v>CORE</x:v>
      </x:c>
      <x:c r="B4" s="36" t="str">
        <x:v>EAST</x:v>
      </x:c>
      <x:c r="C4" s="36" t="str">
        <x:v>Восток</x:v>
      </x:c>
      <x:c r="D4" s="36" t="str">
        <x:v>ONT_GIGABIT</x:v>
      </x:c>
      <x:c r="E4" s="36" t="n">
        <x:v>2</x:v>
      </x:c>
      <x:c r="F4" s="36" t="str">
        <x:v>RESERVE_AT_SHIFT_START</x:v>
      </x:c>
      <x:c r="G4" s="37" t="b">
        <x:v>0</x:v>
      </x:c>
    </x:row>
    <x:row r="5" ht="15" hidden="0" customHeight="1">
      <x:c r="A5" s="36" t="str">
        <x:v>CORE</x:v>
      </x:c>
      <x:c r="B5" s="36" t="str">
        <x:v>EAST</x:v>
      </x:c>
      <x:c r="C5" s="36" t="str">
        <x:v>Восток</x:v>
      </x:c>
      <x:c r="D5" s="36" t="str">
        <x:v>CABLE_PACK</x:v>
      </x:c>
      <x:c r="E5" s="36" t="n">
        <x:v>38</x:v>
      </x:c>
      <x:c r="F5" s="36" t="str">
        <x:v>RESERVE_AT_SHIFT_START</x:v>
      </x:c>
      <x:c r="G5" s="37" t="b">
        <x:v>0</x:v>
      </x:c>
    </x:row>
    <x:row r="6" ht="15" hidden="0" customHeight="1">
      <x:c r="A6" s="36" t="str">
        <x:v>CORE</x:v>
      </x:c>
      <x:c r="B6" s="36" t="str">
        <x:v>SOUTHEAST</x:v>
      </x:c>
      <x:c r="C6" s="36" t="str">
        <x:v>Юго-восток</x:v>
      </x:c>
      <x:c r="D6" s="36" t="str">
        <x:v>ROUTER</x:v>
      </x:c>
      <x:c r="E6" s="36" t="n">
        <x:v>1</x:v>
      </x:c>
      <x:c r="F6" s="36" t="str">
        <x:v>RESERVE_AT_SHIFT_START</x:v>
      </x:c>
      <x:c r="G6" s="37" t="b">
        <x:v>0</x:v>
      </x:c>
    </x:row>
    <x:row r="7" ht="15" hidden="0" customHeight="1">
      <x:c r="A7" s="36" t="str">
        <x:v>CORE</x:v>
      </x:c>
      <x:c r="B7" s="36" t="str">
        <x:v>SOUTHEAST</x:v>
      </x:c>
      <x:c r="C7" s="36" t="str">
        <x:v>Юго-восток</x:v>
      </x:c>
      <x:c r="D7" s="36" t="str">
        <x:v>TV_BOX</x:v>
      </x:c>
      <x:c r="E7" s="36" t="n">
        <x:v>2</x:v>
      </x:c>
      <x:c r="F7" s="36" t="str">
        <x:v>RESERVE_AT_SHIFT_START</x:v>
      </x:c>
      <x:c r="G7" s="37" t="b">
        <x:v>0</x:v>
      </x:c>
    </x:row>
    <x:row r="8" ht="15" hidden="0" customHeight="1">
      <x:c r="A8" s="36" t="str">
        <x:v>CORE</x:v>
      </x:c>
      <x:c r="B8" s="36" t="str">
        <x:v>SOUTHEAST</x:v>
      </x:c>
      <x:c r="C8" s="36" t="str">
        <x:v>Юго-восток</x:v>
      </x:c>
      <x:c r="D8" s="36" t="str">
        <x:v>ONT_GIGABIT</x:v>
      </x:c>
      <x:c r="E8" s="36" t="n">
        <x:v>0</x:v>
      </x:c>
      <x:c r="F8" s="36" t="str">
        <x:v>RESERVE_AT_SHIFT_START</x:v>
      </x:c>
      <x:c r="G8" s="37" t="b">
        <x:v>0</x:v>
      </x:c>
    </x:row>
    <x:row r="9" ht="15" hidden="0" customHeight="1">
      <x:c r="A9" s="36" t="str">
        <x:v>CORE</x:v>
      </x:c>
      <x:c r="B9" s="36" t="str">
        <x:v>SOUTHEAST</x:v>
      </x:c>
      <x:c r="C9" s="36" t="str">
        <x:v>Юго-восток</x:v>
      </x:c>
      <x:c r="D9" s="36" t="str">
        <x:v>CABLE_PACK</x:v>
      </x:c>
      <x:c r="E9" s="36" t="n">
        <x:v>53</x:v>
      </x:c>
      <x:c r="F9" s="36" t="str">
        <x:v>RESERVE_AT_SHIFT_START</x:v>
      </x:c>
      <x:c r="G9" s="37" t="b">
        <x:v>0</x:v>
      </x:c>
    </x:row>
    <x:row r="10" ht="15" hidden="0" customHeight="1">
      <x:c r="A10" s="36" t="str">
        <x:v>CORE</x:v>
      </x:c>
      <x:c r="B10" s="36" t="str">
        <x:v>SOUTHCENTER</x:v>
      </x:c>
      <x:c r="C10" s="36" t="str">
        <x:v>Югоцентр</x:v>
      </x:c>
      <x:c r="D10" s="36" t="str">
        <x:v>ROUTER</x:v>
      </x:c>
      <x:c r="E10" s="36" t="n">
        <x:v>1</x:v>
      </x:c>
      <x:c r="F10" s="36" t="str">
        <x:v>RESERVE_AT_SHIFT_START</x:v>
      </x:c>
      <x:c r="G10" s="37" t="b">
        <x:v>0</x:v>
      </x:c>
    </x:row>
    <x:row r="11" ht="15" hidden="0" customHeight="1">
      <x:c r="A11" s="36" t="str">
        <x:v>CORE</x:v>
      </x:c>
      <x:c r="B11" s="36" t="str">
        <x:v>SOUTHCENTER</x:v>
      </x:c>
      <x:c r="C11" s="36" t="str">
        <x:v>Югоцентр</x:v>
      </x:c>
      <x:c r="D11" s="36" t="str">
        <x:v>TV_BOX</x:v>
      </x:c>
      <x:c r="E11" s="36" t="n">
        <x:v>2</x:v>
      </x:c>
      <x:c r="F11" s="36" t="str">
        <x:v>RESERVE_AT_SHIFT_START</x:v>
      </x:c>
      <x:c r="G11" s="37" t="b">
        <x:v>0</x:v>
      </x:c>
    </x:row>
    <x:row r="12" ht="15" hidden="0" customHeight="1">
      <x:c r="A12" s="36" t="str">
        <x:v>CORE</x:v>
      </x:c>
      <x:c r="B12" s="36" t="str">
        <x:v>SOUTHCENTER</x:v>
      </x:c>
      <x:c r="C12" s="36" t="str">
        <x:v>Югоцентр</x:v>
      </x:c>
      <x:c r="D12" s="36" t="str">
        <x:v>ONT_GIGABIT</x:v>
      </x:c>
      <x:c r="E12" s="36" t="n">
        <x:v>0</x:v>
      </x:c>
      <x:c r="F12" s="36" t="str">
        <x:v>RESERVE_AT_SHIFT_START</x:v>
      </x:c>
      <x:c r="G12" s="37" t="b">
        <x:v>0</x:v>
      </x:c>
    </x:row>
    <x:row r="13" ht="15" hidden="0" customHeight="1">
      <x:c r="A13" s="36" t="str">
        <x:v>CORE</x:v>
      </x:c>
      <x:c r="B13" s="36" t="str">
        <x:v>SOUTHCENTER</x:v>
      </x:c>
      <x:c r="C13" s="36" t="str">
        <x:v>Югоцентр</x:v>
      </x:c>
      <x:c r="D13" s="36" t="str">
        <x:v>CABLE_PACK</x:v>
      </x:c>
      <x:c r="E13" s="36" t="n">
        <x:v>32</x:v>
      </x:c>
      <x:c r="F13" s="36" t="str">
        <x:v>RESERVE_AT_SHIFT_START</x:v>
      </x:c>
      <x:c r="G13" s="3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e747689c2148d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22" hidden="0" customWidth="1"/>
    <x:col min="7" max="7" width="28" hidden="0" customWidth="1"/>
  </x:cols>
  <x:sheetData>
    <x:row r="1" ht="15" hidden="0" customHeight="1">
      <x:c r="A1" s="46" t="str">
        <x:v>scenario</x:v>
      </x:c>
      <x:c r="B1" s="47" t="str">
        <x:v>zone_id</x:v>
      </x:c>
      <x:c r="C1" s="47" t="str">
        <x:v>zone_name</x:v>
      </x:c>
      <x:c r="D1" s="47" t="str">
        <x:v>equipment_id</x:v>
      </x:c>
      <x:c r="E1" s="47" t="str">
        <x:v>quantity_available</x:v>
      </x:c>
      <x:c r="F1" s="47" t="str">
        <x:v>reservation_policy</x:v>
      </x:c>
      <x:c r="G1" s="48" t="str">
        <x:v>replenishment_during_day</x:v>
      </x:c>
    </x:row>
    <x:row r="2" ht="15" hidden="0" customHeight="1">
      <x:c r="A2" s="36" t="str">
        <x:v>STRESS</x:v>
      </x:c>
      <x:c r="B2" s="36" t="str">
        <x:v>EAST</x:v>
      </x:c>
      <x:c r="C2" s="36" t="str">
        <x:v>Восток</x:v>
      </x:c>
      <x:c r="D2" s="36" t="str">
        <x:v>ROUTER</x:v>
      </x:c>
      <x:c r="E2" s="36" t="n">
        <x:v>2</x:v>
      </x:c>
      <x:c r="F2" s="36" t="str">
        <x:v>RESERVE_AT_SHIFT_START</x:v>
      </x:c>
      <x:c r="G2" s="37" t="b">
        <x:v>0</x:v>
      </x:c>
    </x:row>
    <x:row r="3" ht="15" hidden="0" customHeight="1">
      <x:c r="A3" s="36" t="str">
        <x:v>STRESS</x:v>
      </x:c>
      <x:c r="B3" s="36" t="str">
        <x:v>EAST</x:v>
      </x:c>
      <x:c r="C3" s="36" t="str">
        <x:v>Восток</x:v>
      </x:c>
      <x:c r="D3" s="36" t="str">
        <x:v>TV_BOX</x:v>
      </x:c>
      <x:c r="E3" s="36" t="n">
        <x:v>1</x:v>
      </x:c>
      <x:c r="F3" s="36" t="str">
        <x:v>RESERVE_AT_SHIFT_START</x:v>
      </x:c>
      <x:c r="G3" s="37" t="b">
        <x:v>0</x:v>
      </x:c>
    </x:row>
    <x:row r="4" ht="15" hidden="0" customHeight="1">
      <x:c r="A4" s="36" t="str">
        <x:v>STRESS</x:v>
      </x:c>
      <x:c r="B4" s="36" t="str">
        <x:v>EAST</x:v>
      </x:c>
      <x:c r="C4" s="36" t="str">
        <x:v>Восток</x:v>
      </x:c>
      <x:c r="D4" s="36" t="str">
        <x:v>ONT_GIGABIT</x:v>
      </x:c>
      <x:c r="E4" s="36" t="n">
        <x:v>2</x:v>
      </x:c>
      <x:c r="F4" s="36" t="str">
        <x:v>RESERVE_AT_SHIFT_START</x:v>
      </x:c>
      <x:c r="G4" s="37" t="b">
        <x:v>0</x:v>
      </x:c>
    </x:row>
    <x:row r="5" ht="15" hidden="0" customHeight="1">
      <x:c r="A5" s="36" t="str">
        <x:v>STRESS</x:v>
      </x:c>
      <x:c r="B5" s="36" t="str">
        <x:v>EAST</x:v>
      </x:c>
      <x:c r="C5" s="36" t="str">
        <x:v>Восток</x:v>
      </x:c>
      <x:c r="D5" s="36" t="str">
        <x:v>CABLE_PACK</x:v>
      </x:c>
      <x:c r="E5" s="36" t="n">
        <x:v>38</x:v>
      </x:c>
      <x:c r="F5" s="36" t="str">
        <x:v>RESERVE_AT_SHIFT_START</x:v>
      </x:c>
      <x:c r="G5" s="37" t="b">
        <x:v>0</x:v>
      </x:c>
    </x:row>
    <x:row r="6" ht="15" hidden="0" customHeight="1">
      <x:c r="A6" s="36" t="str">
        <x:v>STRESS</x:v>
      </x:c>
      <x:c r="B6" s="36" t="str">
        <x:v>SOUTHEAST</x:v>
      </x:c>
      <x:c r="C6" s="36" t="str">
        <x:v>Юго-восток</x:v>
      </x:c>
      <x:c r="D6" s="36" t="str">
        <x:v>ROUTER</x:v>
      </x:c>
      <x:c r="E6" s="36" t="n">
        <x:v>1</x:v>
      </x:c>
      <x:c r="F6" s="36" t="str">
        <x:v>RESERVE_AT_SHIFT_START</x:v>
      </x:c>
      <x:c r="G6" s="37" t="b">
        <x:v>0</x:v>
      </x:c>
    </x:row>
    <x:row r="7" ht="15" hidden="0" customHeight="1">
      <x:c r="A7" s="36" t="str">
        <x:v>STRESS</x:v>
      </x:c>
      <x:c r="B7" s="36" t="str">
        <x:v>SOUTHEAST</x:v>
      </x:c>
      <x:c r="C7" s="36" t="str">
        <x:v>Юго-восток</x:v>
      </x:c>
      <x:c r="D7" s="36" t="str">
        <x:v>TV_BOX</x:v>
      </x:c>
      <x:c r="E7" s="36" t="n">
        <x:v>2</x:v>
      </x:c>
      <x:c r="F7" s="36" t="str">
        <x:v>RESERVE_AT_SHIFT_START</x:v>
      </x:c>
      <x:c r="G7" s="37" t="b">
        <x:v>0</x:v>
      </x:c>
    </x:row>
    <x:row r="8" ht="15" hidden="0" customHeight="1">
      <x:c r="A8" s="36" t="str">
        <x:v>STRESS</x:v>
      </x:c>
      <x:c r="B8" s="36" t="str">
        <x:v>SOUTHEAST</x:v>
      </x:c>
      <x:c r="C8" s="36" t="str">
        <x:v>Юго-восток</x:v>
      </x:c>
      <x:c r="D8" s="36" t="str">
        <x:v>ONT_GIGABIT</x:v>
      </x:c>
      <x:c r="E8" s="36" t="n">
        <x:v>0</x:v>
      </x:c>
      <x:c r="F8" s="36" t="str">
        <x:v>RESERVE_AT_SHIFT_START</x:v>
      </x:c>
      <x:c r="G8" s="37" t="b">
        <x:v>0</x:v>
      </x:c>
    </x:row>
    <x:row r="9" ht="15" hidden="0" customHeight="1">
      <x:c r="A9" s="36" t="str">
        <x:v>STRESS</x:v>
      </x:c>
      <x:c r="B9" s="36" t="str">
        <x:v>SOUTHEAST</x:v>
      </x:c>
      <x:c r="C9" s="36" t="str">
        <x:v>Юго-восток</x:v>
      </x:c>
      <x:c r="D9" s="36" t="str">
        <x:v>CABLE_PACK</x:v>
      </x:c>
      <x:c r="E9" s="36" t="n">
        <x:v>53</x:v>
      </x:c>
      <x:c r="F9" s="36" t="str">
        <x:v>RESERVE_AT_SHIFT_START</x:v>
      </x:c>
      <x:c r="G9" s="37" t="b">
        <x:v>0</x:v>
      </x:c>
    </x:row>
    <x:row r="10" ht="15" hidden="0" customHeight="1">
      <x:c r="A10" s="36" t="str">
        <x:v>STRESS</x:v>
      </x:c>
      <x:c r="B10" s="36" t="str">
        <x:v>SOUTHCENTER</x:v>
      </x:c>
      <x:c r="C10" s="36" t="str">
        <x:v>Югоцентр</x:v>
      </x:c>
      <x:c r="D10" s="36" t="str">
        <x:v>ROUTER</x:v>
      </x:c>
      <x:c r="E10" s="36" t="n">
        <x:v>1</x:v>
      </x:c>
      <x:c r="F10" s="36" t="str">
        <x:v>RESERVE_AT_SHIFT_START</x:v>
      </x:c>
      <x:c r="G10" s="37" t="b">
        <x:v>0</x:v>
      </x:c>
    </x:row>
    <x:row r="11" ht="15" hidden="0" customHeight="1">
      <x:c r="A11" s="36" t="str">
        <x:v>STRESS</x:v>
      </x:c>
      <x:c r="B11" s="36" t="str">
        <x:v>SOUTHCENTER</x:v>
      </x:c>
      <x:c r="C11" s="36" t="str">
        <x:v>Югоцентр</x:v>
      </x:c>
      <x:c r="D11" s="36" t="str">
        <x:v>TV_BOX</x:v>
      </x:c>
      <x:c r="E11" s="36" t="n">
        <x:v>2</x:v>
      </x:c>
      <x:c r="F11" s="36" t="str">
        <x:v>RESERVE_AT_SHIFT_START</x:v>
      </x:c>
      <x:c r="G11" s="37" t="b">
        <x:v>0</x:v>
      </x:c>
    </x:row>
    <x:row r="12" ht="15" hidden="0" customHeight="1">
      <x:c r="A12" s="36" t="str">
        <x:v>STRESS</x:v>
      </x:c>
      <x:c r="B12" s="36" t="str">
        <x:v>SOUTHCENTER</x:v>
      </x:c>
      <x:c r="C12" s="36" t="str">
        <x:v>Югоцентр</x:v>
      </x:c>
      <x:c r="D12" s="36" t="str">
        <x:v>ONT_GIGABIT</x:v>
      </x:c>
      <x:c r="E12" s="36" t="n">
        <x:v>0</x:v>
      </x:c>
      <x:c r="F12" s="36" t="str">
        <x:v>RESERVE_AT_SHIFT_START</x:v>
      </x:c>
      <x:c r="G12" s="37" t="b">
        <x:v>0</x:v>
      </x:c>
    </x:row>
    <x:row r="13" ht="15" hidden="0" customHeight="1">
      <x:c r="A13" s="36" t="str">
        <x:v>STRESS</x:v>
      </x:c>
      <x:c r="B13" s="36" t="str">
        <x:v>SOUTHCENTER</x:v>
      </x:c>
      <x:c r="C13" s="36" t="str">
        <x:v>Югоцентр</x:v>
      </x:c>
      <x:c r="D13" s="36" t="str">
        <x:v>CABLE_PACK</x:v>
      </x:c>
      <x:c r="E13" s="36" t="n">
        <x:v>32</x:v>
      </x:c>
      <x:c r="F13" s="36" t="str">
        <x:v>RESERVE_AT_SHIFT_START</x:v>
      </x:c>
      <x:c r="G13" s="3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9003c6eeb44cd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6" hidden="0" customWidth="1"/>
    <x:col min="5" max="5" width="26" hidden="0" customWidth="1"/>
    <x:col min="6" max="6" width="14" hidden="0" customWidth="1"/>
    <x:col min="7" max="7" width="54" hidden="0" customWidth="1"/>
    <x:col min="8" max="8" width="21" hidden="0" customWidth="1"/>
    <x:col min="9" max="9" width="46" hidden="0" customWidth="1"/>
  </x:cols>
  <x:sheetData>
    <x:row r="1" ht="15" hidden="0" customHeight="1">
      <x:c r="A1" s="46" t="str">
        <x:v>apply_order</x:v>
      </x:c>
      <x:c r="B1" s="47" t="str">
        <x:v>event_id</x:v>
      </x:c>
      <x:c r="C1" s="47" t="str">
        <x:v>event_time</x:v>
      </x:c>
      <x:c r="D1" s="47" t="str">
        <x:v>event_type</x:v>
      </x:c>
      <x:c r="E1" s="47" t="str">
        <x:v>target_id</x:v>
      </x:c>
      <x:c r="F1" s="47" t="str">
        <x:v>zone_id</x:v>
      </x:c>
      <x:c r="G1" s="47" t="str">
        <x:v>description</x:v>
      </x:c>
      <x:c r="H1" s="47" t="str">
        <x:v>unavailable_until</x:v>
      </x:c>
      <x:c r="I1" s="48" t="str">
        <x:v>payload_json</x:v>
      </x:c>
    </x:row>
    <x:row r="2" ht="15" hidden="0" customHeight="1">
      <x:c r="A2" s="36" t="n">
        <x:v>1</x:v>
      </x:c>
      <x:c r="B2" s="36" t="str">
        <x:v>CORE-EVT-001</x:v>
      </x:c>
      <x:c r="C2" s="49" t="n">
        <x:v>46251.5625</x:v>
      </x:c>
      <x:c r="D2" s="36" t="str">
        <x:v>NEW_URGENT_JOB</x:v>
      </x:c>
      <x:c r="E2" s="36" t="str">
        <x:v>EAST-EVENT-001</x:v>
      </x:c>
      <x:c r="F2" s="36" t="str">
        <x:v>EAST</x:v>
      </x:c>
      <x:c r="G2" s="36" t="str">
        <x:v>Поступила срочная аварийная заявка. Требуется перепланировать только незавершённые работы.</x:v>
      </x:c>
      <x:c r="H2" s="49"/>
      <x:c r="I2" s="36" t="str">
        <x:v>{"job_id":"EAST-EVENT-001","freeze_started_jobs":true}</x:v>
      </x:c>
    </x:row>
  </x:sheetData>
  <x:pageMargins left="0.7" right="0.7" top="0.75" bottom="0.75" header="0.3" footer="0.3"/>
  <x:tableParts count="1">
    <x:tablePart xmlns:r="http://schemas.openxmlformats.org/officeDocument/2006/relationships" r:id="Re8f6b8131fd14a2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6" hidden="0" customWidth="1"/>
    <x:col min="5" max="5" width="26" hidden="0" customWidth="1"/>
    <x:col min="6" max="6" width="14" hidden="0" customWidth="1"/>
    <x:col min="7" max="7" width="54" hidden="0" customWidth="1"/>
    <x:col min="8" max="8" width="21" hidden="0" customWidth="1"/>
    <x:col min="9" max="9" width="46" hidden="0" customWidth="1"/>
  </x:cols>
  <x:sheetData>
    <x:row r="1" ht="15" hidden="0" customHeight="1">
      <x:c r="A1" s="46" t="str">
        <x:v>apply_order</x:v>
      </x:c>
      <x:c r="B1" s="47" t="str">
        <x:v>event_id</x:v>
      </x:c>
      <x:c r="C1" s="47" t="str">
        <x:v>event_time</x:v>
      </x:c>
      <x:c r="D1" s="47" t="str">
        <x:v>event_type</x:v>
      </x:c>
      <x:c r="E1" s="47" t="str">
        <x:v>target_id</x:v>
      </x:c>
      <x:c r="F1" s="47" t="str">
        <x:v>zone_id</x:v>
      </x:c>
      <x:c r="G1" s="47" t="str">
        <x:v>description</x:v>
      </x:c>
      <x:c r="H1" s="47" t="str">
        <x:v>unavailable_until</x:v>
      </x:c>
      <x:c r="I1" s="48" t="str">
        <x:v>payload_json</x:v>
      </x:c>
    </x:row>
    <x:row r="2" ht="15" hidden="0" customHeight="1">
      <x:c r="A2" s="36" t="n">
        <x:v>1</x:v>
      </x:c>
      <x:c r="B2" s="36" t="str">
        <x:v>STRESS-EVT-001</x:v>
      </x:c>
      <x:c r="C2" s="49" t="n">
        <x:v>46251.5625</x:v>
      </x:c>
      <x:c r="D2" s="36" t="str">
        <x:v>NEW_URGENT_JOB</x:v>
      </x:c>
      <x:c r="E2" s="36" t="str">
        <x:v>EAST-EVENT-001</x:v>
      </x:c>
      <x:c r="F2" s="36" t="str">
        <x:v>EAST</x:v>
      </x:c>
      <x:c r="G2" s="36" t="str">
        <x:v>Поступила срочная аварийная заявка. Требуется перепланировать только незавершённые работы.</x:v>
      </x:c>
      <x:c r="H2" s="49"/>
      <x:c r="I2" s="36" t="str">
        <x:v>{"job_id":"EAST-EVENT-001","freeze_started_jobs":true}</x:v>
      </x:c>
    </x:row>
    <x:row r="3" ht="15" hidden="0" customHeight="1">
      <x:c r="A3" s="36" t="n">
        <x:v>2</x:v>
      </x:c>
      <x:c r="B3" s="36" t="str">
        <x:v>STRESS-EVT-002</x:v>
      </x:c>
      <x:c r="C3" s="49" t="n">
        <x:v>46251.583333333336</x:v>
      </x:c>
      <x:c r="D3" s="36" t="str">
        <x:v>ENGINEER_UNAVAILABLE</x:v>
      </x:c>
      <x:c r="E3" s="36" t="str">
        <x:v>SOUTHEAST-ENG-01</x:v>
      </x:c>
      <x:c r="F3" s="36" t="str">
        <x:v>SOUTHEAST</x:v>
      </x:c>
      <x:c r="G3" s="36" t="str">
        <x:v>Инженер стал недоступен до конца смены. Его начатая работа фиксируется, остальные заявки перепланируются.</x:v>
      </x:c>
      <x:c r="H3" s="49" t="n">
        <x:v>46251.916666666664</x:v>
      </x:c>
      <x:c r="I3" s="36" t="str">
        <x:v>{"engineer_id":"SOUTHEAST-ENG-01","freeze_in_progress":true}</x:v>
      </x:c>
    </x:row>
    <x:row r="4" ht="15" hidden="0" customHeight="1">
      <x:c r="A4" s="36" t="n">
        <x:v>3</x:v>
      </x:c>
      <x:c r="B4" s="36" t="str">
        <x:v>STRESS-EVT-003</x:v>
      </x:c>
      <x:c r="C4" s="49" t="n">
        <x:v>46251.59027777778</x:v>
      </x:c>
      <x:c r="D4" s="36" t="str">
        <x:v>NEW_URGENT_JOB</x:v>
      </x:c>
      <x:c r="E4" s="36" t="str">
        <x:v>SOUTHEAST-EVENT-002</x:v>
      </x:c>
      <x:c r="F4" s="36" t="str">
        <x:v>SOUTHEAST</x:v>
      </x:c>
      <x:c r="G4" s="36" t="str">
        <x:v>Поступила срочная заявка на гигабитное подключение. Запас ONT намеренно ограничен.</x:v>
      </x:c>
      <x:c r="H4" s="49"/>
      <x:c r="I4" s="36" t="str">
        <x:v>{"job_id":"SOUTHEAST-EVENT-002","expected_shortage":{"equipment_id":"ONT_GIGABIT","quantity":1}}</x:v>
      </x:c>
    </x:row>
    <x:row r="5" ht="15" hidden="0" customHeight="1">
      <x:c r="A5" s="36" t="n">
        <x:v>4</x:v>
      </x:c>
      <x:c r="B5" s="36" t="str">
        <x:v>STRESS-EVT-004</x:v>
      </x:c>
      <x:c r="C5" s="49" t="n">
        <x:v>46251.625</x:v>
      </x:c>
      <x:c r="D5" s="36" t="str">
        <x:v>CANCEL_JOB</x:v>
      </x:c>
      <x:c r="E5" s="36" t="str">
        <x:v>EAST-74198</x:v>
      </x:c>
      <x:c r="F5" s="36" t="str">
        <x:v>EAST</x:v>
      </x:c>
      <x:c r="G5" s="36" t="str">
        <x:v>Клиент отменил ещё не начатую заявку. Она исключается из оставшегося плана.</x:v>
      </x:c>
      <x:c r="H5" s="49"/>
      <x:c r="I5" s="36" t="str">
        <x:v>{"job_id":"EAST-74198","only_if_not_started":true}</x:v>
      </x:c>
    </x:row>
  </x:sheetData>
  <x:pageMargins left="0.7" right="0.7" top="0.75" bottom="0.75" header="0.3" footer="0.3"/>
  <x:tableParts count="1">
    <x:tablePart xmlns:r="http://schemas.openxmlformats.org/officeDocument/2006/relationships" r:id="Ra20af09ce12942b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5" hidden="0" customHeight="1">
      <x:c r="A1" s="46" t="str">
        <x:v>office_id</x:v>
      </x:c>
      <x:c r="B1" s="47" t="str">
        <x:v>zone_id</x:v>
      </x:c>
      <x:c r="C1" s="47" t="str">
        <x:v>zone_name</x:v>
      </x:c>
      <x:c r="D1" s="47" t="str">
        <x:v>address</x:v>
      </x:c>
      <x:c r="E1" s="47" t="str">
        <x:v>latitude</x:v>
      </x:c>
      <x:c r="F1" s="47" t="str">
        <x:v>longitude</x:v>
      </x:c>
      <x:c r="G1" s="48" t="str">
        <x:v>geocode_status</x:v>
      </x:c>
    </x:row>
    <x:row r="2" ht="15" hidden="0" customHeight="1">
      <x:c r="A2" s="36" t="str">
        <x:v>OFFICE-EAST</x:v>
      </x:c>
      <x:c r="B2" s="36" t="str">
        <x:v>EAST</x:v>
      </x:c>
      <x:c r="C2" s="36" t="str">
        <x:v>Восток</x:v>
      </x:c>
      <x:c r="D2" s="36" t="str">
        <x:v>г. Москва, ул. Юных Ленинцев, д. 83, стр. 4</x:v>
      </x:c>
      <x:c r="E2" s="36"/>
      <x:c r="F2" s="36"/>
      <x:c r="G2" s="36" t="str">
        <x:v>needs_geocoding</x:v>
      </x:c>
    </x:row>
    <x:row r="3" ht="15" hidden="0" customHeight="1">
      <x:c r="A3" s="36" t="str">
        <x:v>OFFICE-SOUTHEAST</x:v>
      </x:c>
      <x:c r="B3" s="36" t="str">
        <x:v>SOUTHEAST</x:v>
      </x:c>
      <x:c r="C3" s="36" t="str">
        <x:v>Юго-восток</x:v>
      </x:c>
      <x:c r="D3" s="36" t="str">
        <x:v>г. Москва, ул. Бирюлёвская, д. 1, стр. 1</x:v>
      </x:c>
      <x:c r="E3" s="36"/>
      <x:c r="F3" s="36"/>
      <x:c r="G3" s="36" t="str">
        <x:v>needs_geocoding</x:v>
      </x:c>
    </x:row>
    <x:row r="4" ht="15" hidden="0" customHeight="1">
      <x:c r="A4" s="36" t="str">
        <x:v>OFFICE-SOUTHCENTER</x:v>
      </x:c>
      <x:c r="B4" s="36" t="str">
        <x:v>SOUTHCENTER</x:v>
      </x:c>
      <x:c r="C4" s="36" t="str">
        <x:v>Югоцентр</x:v>
      </x:c>
      <x:c r="D4" s="36" t="str">
        <x:v>г. Москва, Симферопольский проезд, д. 7</x:v>
      </x:c>
      <x:c r="E4" s="36"/>
      <x:c r="F4" s="36"/>
      <x:c r="G4" s="36" t="str">
        <x:v>needs_geocoding</x:v>
      </x:c>
    </x:row>
  </x:sheetData>
  <x:conditionalFormatting sqref="G2:G4">
    <x:cfRule type="containsText" dxfId="4" priority="1" operator="containsText" text="needs_geocoding"/>
  </x:conditionalFormatting>
  <x:pageMargins left="0.7" right="0.7" top="0.75" bottom="0.75" header="0.3" footer="0.3"/>
  <x:tableParts count="1">
    <x:tablePart xmlns:r="http://schemas.openxmlformats.org/officeDocument/2006/relationships" r:id="R6ae86773753f455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46" t="str">
        <x:v>equipment_id</x:v>
      </x:c>
      <x:c r="B1" s="47" t="str">
        <x:v>equipment_name</x:v>
      </x:c>
      <x:c r="C1" s="47" t="str">
        <x:v>category</x:v>
      </x:c>
      <x:c r="D1" s="47" t="str">
        <x:v>reusable</x:v>
      </x:c>
      <x:c r="E1" s="47" t="str">
        <x:v>unit</x:v>
      </x:c>
      <x:c r="F1" s="48" t="str">
        <x:v>shared_stock</x:v>
      </x:c>
    </x:row>
    <x:row r="2" ht="15" hidden="0" customHeight="1">
      <x:c r="A2" s="36" t="str">
        <x:v>DIAG_SET</x:v>
      </x:c>
      <x:c r="B2" s="36" t="str">
        <x:v>Диагностический комплект</x:v>
      </x:c>
      <x:c r="C2" s="36" t="str">
        <x:v>TOOLKIT</x:v>
      </x:c>
      <x:c r="D2" s="37" t="b">
        <x:v>1</x:v>
      </x:c>
      <x:c r="E2" s="36" t="str">
        <x:v>комплект</x:v>
      </x:c>
      <x:c r="F2" s="37" t="b">
        <x:v>0</x:v>
      </x:c>
    </x:row>
    <x:row r="3" ht="15" hidden="0" customHeight="1">
      <x:c r="A3" s="36" t="str">
        <x:v>INSTALL_SET</x:v>
      </x:c>
      <x:c r="B3" s="36" t="str">
        <x:v>Монтажный комплект</x:v>
      </x:c>
      <x:c r="C3" s="36" t="str">
        <x:v>TOOLKIT</x:v>
      </x:c>
      <x:c r="D3" s="37" t="b">
        <x:v>1</x:v>
      </x:c>
      <x:c r="E3" s="36" t="str">
        <x:v>комплект</x:v>
      </x:c>
      <x:c r="F3" s="37" t="b">
        <x:v>0</x:v>
      </x:c>
    </x:row>
    <x:row r="4" ht="15" hidden="0" customHeight="1">
      <x:c r="A4" s="36" t="str">
        <x:v>CABLE_SET</x:v>
      </x:c>
      <x:c r="B4" s="36" t="str">
        <x:v>Комплект для работы с кабелем</x:v>
      </x:c>
      <x:c r="C4" s="36" t="str">
        <x:v>TOOLKIT</x:v>
      </x:c>
      <x:c r="D4" s="37" t="b">
        <x:v>1</x:v>
      </x:c>
      <x:c r="E4" s="36" t="str">
        <x:v>комплект</x:v>
      </x:c>
      <x:c r="F4" s="37" t="b">
        <x:v>0</x:v>
      </x:c>
    </x:row>
    <x:row r="5" ht="15" hidden="0" customHeight="1">
      <x:c r="A5" s="36" t="str">
        <x:v>ROUTER</x:v>
      </x:c>
      <x:c r="B5" s="36" t="str">
        <x:v>Роутер для замены</x:v>
      </x:c>
      <x:c r="C5" s="36" t="str">
        <x:v>DEVICE</x:v>
      </x:c>
      <x:c r="D5" s="37" t="b">
        <x:v>0</x:v>
      </x:c>
      <x:c r="E5" s="36" t="str">
        <x:v>шт.</x:v>
      </x:c>
      <x:c r="F5" s="37" t="b">
        <x:v>1</x:v>
      </x:c>
    </x:row>
    <x:row r="6" ht="15" hidden="0" customHeight="1">
      <x:c r="A6" s="36" t="str">
        <x:v>TV_BOX</x:v>
      </x:c>
      <x:c r="B6" s="36" t="str">
        <x:v>ТВ-приставка</x:v>
      </x:c>
      <x:c r="C6" s="36" t="str">
        <x:v>DEVICE</x:v>
      </x:c>
      <x:c r="D6" s="37" t="b">
        <x:v>0</x:v>
      </x:c>
      <x:c r="E6" s="36" t="str">
        <x:v>шт.</x:v>
      </x:c>
      <x:c r="F6" s="37" t="b">
        <x:v>1</x:v>
      </x:c>
    </x:row>
    <x:row r="7" ht="15" hidden="0" customHeight="1">
      <x:c r="A7" s="36" t="str">
        <x:v>ONT_GIGABIT</x:v>
      </x:c>
      <x:c r="B7" s="36" t="str">
        <x:v>Гигабитный ONT</x:v>
      </x:c>
      <x:c r="C7" s="36" t="str">
        <x:v>DEVICE</x:v>
      </x:c>
      <x:c r="D7" s="37" t="b">
        <x:v>0</x:v>
      </x:c>
      <x:c r="E7" s="36" t="str">
        <x:v>шт.</x:v>
      </x:c>
      <x:c r="F7" s="37" t="b">
        <x:v>1</x:v>
      </x:c>
    </x:row>
    <x:row r="8" ht="15" hidden="0" customHeight="1">
      <x:c r="A8" s="36" t="str">
        <x:v>CABLE_PACK</x:v>
      </x:c>
      <x:c r="B8" s="36" t="str">
        <x:v>Комплект кабельных материалов</x:v>
      </x:c>
      <x:c r="C8" s="36" t="str">
        <x:v>CONSUMABLE</x:v>
      </x:c>
      <x:c r="D8" s="37" t="b">
        <x:v>0</x:v>
      </x:c>
      <x:c r="E8" s="36" t="str">
        <x:v>комплект</x:v>
      </x:c>
      <x:c r="F8" s="3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e5e068eccf24c4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</x:cols>
  <x:sheetData>
    <x:row r="1" ht="15" hidden="0" customHeight="1">
      <x:c r="A1" s="46" t="str">
        <x:v>bk_type</x:v>
      </x:c>
      <x:c r="B1" s="48" t="str">
        <x:v>required_skill</x:v>
      </x:c>
    </x:row>
    <x:row r="2" ht="15" hidden="0" customHeight="1">
      <x:c r="A2" s="36" t="str">
        <x:v>Локальная заявка</x:v>
      </x:c>
      <x:c r="B2" s="36" t="str">
        <x:v>LOCAL</x:v>
      </x:c>
    </x:row>
    <x:row r="3" ht="15" hidden="0" customHeight="1">
      <x:c r="A3" s="36" t="str">
        <x:v>Подключение</x:v>
      </x:c>
      <x:c r="B3" s="36" t="str">
        <x:v>INSTALL</x:v>
      </x:c>
    </x:row>
    <x:row r="4" ht="15" hidden="0" customHeight="1">
      <x:c r="A4" s="36" t="str">
        <x:v>Дозаказ</x:v>
      </x:c>
      <x:c r="B4" s="36" t="str">
        <x:v>INSTALL</x:v>
      </x:c>
    </x:row>
    <x:row r="5" ht="15" hidden="0" customHeight="1">
      <x:c r="A5" s="36" t="str">
        <x:v>Глобальная проблема</x:v>
      </x:c>
      <x:c r="B5" s="36" t="str">
        <x:v>EMERGENCY</x:v>
      </x:c>
    </x:row>
  </x:sheetData>
  <x:pageMargins left="0.7" right="0.7" top="0.75" bottom="0.75" header="0.3" footer="0.3"/>
  <x:tableParts count="1">
    <x:tablePart xmlns:r="http://schemas.openxmlformats.org/officeDocument/2006/relationships" r:id="R17a08e074b584e2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4" hidden="0" customWidth="1"/>
    <x:col min="4" max="4" width="42" hidden="0" customWidth="1"/>
    <x:col min="5" max="5" width="14" hidden="0" customWidth="1"/>
  </x:cols>
  <x:sheetData>
    <x:row r="1" ht="15" hidden="0" customHeight="1">
      <x:c r="A1" s="46" t="str">
        <x:v>hd_type</x:v>
      </x:c>
      <x:c r="B1" s="47" t="str">
        <x:v>service_duration_min</x:v>
      </x:c>
      <x:c r="C1" s="47" t="str">
        <x:v>default_priority</x:v>
      </x:c>
      <x:c r="D1" s="47" t="str">
        <x:v>equipment_codes</x:v>
      </x:c>
      <x:c r="E1" s="48" t="str">
        <x:v>rule_version</x:v>
      </x:c>
    </x:row>
    <x:row r="2" ht="15" hidden="0" customHeight="1">
      <x:c r="A2" s="36" t="str">
        <x:v>Конвергенция абонента</x:v>
      </x:c>
      <x:c r="B2" s="36" t="n">
        <x:v>60</x:v>
      </x:c>
      <x:c r="C2" s="36" t="str">
        <x:v>NORMAL</x:v>
      </x:c>
      <x:c r="D2" s="36" t="str">
        <x:v>DIAG_SET|INSTALL_SET|CABLE_PACK</x:v>
      </x:c>
      <x:c r="E2" s="36" t="str">
        <x:v>v1</x:v>
      </x:c>
    </x:row>
    <x:row r="3" ht="15" hidden="0" customHeight="1">
      <x:c r="A3" s="36" t="str">
        <x:v>Заявка на подключение</x:v>
      </x:c>
      <x:c r="B3" s="36" t="n">
        <x:v>90</x:v>
      </x:c>
      <x:c r="C3" s="36" t="str">
        <x:v>NORMAL</x:v>
      </x:c>
      <x:c r="D3" s="36" t="str">
        <x:v>DIAG_SET|INSTALL_SET|CABLE_PACK</x:v>
      </x:c>
      <x:c r="E3" s="36" t="str">
        <x:v>v1</x:v>
      </x:c>
    </x:row>
    <x:row r="4" ht="15" hidden="0" customHeight="1">
      <x:c r="A4" s="36" t="str">
        <x:v>Заказ подключения/Дозаказ оборудования</x:v>
      </x:c>
      <x:c r="B4" s="36" t="n">
        <x:v>75</x:v>
      </x:c>
      <x:c r="C4" s="36" t="str">
        <x:v>NORMAL</x:v>
      </x:c>
      <x:c r="D4" s="36" t="str">
        <x:v>DIAG_SET|INSTALL_SET|CABLE_PACK</x:v>
      </x:c>
      <x:c r="E4" s="36" t="str">
        <x:v>v1</x:v>
      </x:c>
    </x:row>
    <x:row r="5" ht="15" hidden="0" customHeight="1">
      <x:c r="A5" s="36" t="str">
        <x:v>Дозаказ оборудования</x:v>
      </x:c>
      <x:c r="B5" s="36" t="n">
        <x:v>45</x:v>
      </x:c>
      <x:c r="C5" s="36" t="str">
        <x:v>NORMAL</x:v>
      </x:c>
      <x:c r="D5" s="36" t="str">
        <x:v>DIAG_SET|INSTALL_SET</x:v>
      </x:c>
      <x:c r="E5" s="36" t="str">
        <x:v>v1</x:v>
      </x:c>
    </x:row>
    <x:row r="6" ht="15" hidden="0" customHeight="1">
      <x:c r="A6" s="36" t="str">
        <x:v>Нет линка</x:v>
      </x:c>
      <x:c r="B6" s="36" t="n">
        <x:v>45</x:v>
      </x:c>
      <x:c r="C6" s="36" t="str">
        <x:v>NORMAL</x:v>
      </x:c>
      <x:c r="D6" s="36" t="str">
        <x:v>DIAG_SET</x:v>
      </x:c>
      <x:c r="E6" s="36" t="str">
        <x:v>v1</x:v>
      </x:c>
    </x:row>
    <x:row r="7" ht="15" hidden="0" customHeight="1">
      <x:c r="A7" s="36" t="str">
        <x:v>Переключение на Гбит/с</x:v>
      </x:c>
      <x:c r="B7" s="36" t="n">
        <x:v>60</x:v>
      </x:c>
      <x:c r="C7" s="36" t="str">
        <x:v>NORMAL</x:v>
      </x:c>
      <x:c r="D7" s="36" t="str">
        <x:v>DIAG_SET|INSTALL_SET</x:v>
      </x:c>
      <x:c r="E7" s="36" t="str">
        <x:v>v1</x:v>
      </x:c>
    </x:row>
    <x:row r="8" ht="15" hidden="0" customHeight="1">
      <x:c r="A8" s="36" t="str">
        <x:v>Мониторинг</x:v>
      </x:c>
      <x:c r="B8" s="36" t="n">
        <x:v>30</x:v>
      </x:c>
      <x:c r="C8" s="36" t="str">
        <x:v>NORMAL</x:v>
      </x:c>
      <x:c r="D8" s="36" t="str">
        <x:v>DIAG_SET</x:v>
      </x:c>
      <x:c r="E8" s="36" t="str">
        <x:v>v1</x:v>
      </x:c>
    </x:row>
    <x:row r="9" ht="15" hidden="0" customHeight="1">
      <x:c r="A9" s="36" t="str">
        <x:v>Разрывы</x:v>
      </x:c>
      <x:c r="B9" s="36" t="n">
        <x:v>45</x:v>
      </x:c>
      <x:c r="C9" s="36" t="str">
        <x:v>NORMAL</x:v>
      </x:c>
      <x:c r="D9" s="36" t="str">
        <x:v>DIAG_SET</x:v>
      </x:c>
      <x:c r="E9" s="36" t="str">
        <x:v>v1</x:v>
      </x:c>
    </x:row>
    <x:row r="10" ht="15" hidden="0" customHeight="1">
      <x:c r="A10" s="36" t="str">
        <x:v>Работа с кабелем</x:v>
      </x:c>
      <x:c r="B10" s="36" t="n">
        <x:v>75</x:v>
      </x:c>
      <x:c r="C10" s="36" t="str">
        <x:v>NORMAL</x:v>
      </x:c>
      <x:c r="D10" s="36" t="str">
        <x:v>DIAG_SET|CABLE_SET|CABLE_PACK</x:v>
      </x:c>
      <x:c r="E10" s="36" t="str">
        <x:v>v1</x:v>
      </x:c>
    </x:row>
    <x:row r="11" ht="15" hidden="0" customHeight="1">
      <x:c r="A11" s="36" t="str">
        <x:v>Роутер. Замена техническим специалистом</x:v>
      </x:c>
      <x:c r="B11" s="36" t="n">
        <x:v>45</x:v>
      </x:c>
      <x:c r="C11" s="36" t="str">
        <x:v>NORMAL</x:v>
      </x:c>
      <x:c r="D11" s="36" t="str">
        <x:v>DIAG_SET|ROUTER</x:v>
      </x:c>
      <x:c r="E11" s="36" t="str">
        <x:v>v1</x:v>
      </x:c>
    </x:row>
    <x:row r="12" ht="15" hidden="0" customHeight="1">
      <x:c r="A12" s="36" t="str">
        <x:v>TVE/ENT. Другие ошибки</x:v>
      </x:c>
      <x:c r="B12" s="36" t="n">
        <x:v>40</x:v>
      </x:c>
      <x:c r="C12" s="36" t="str">
        <x:v>NORMAL</x:v>
      </x:c>
      <x:c r="D12" s="36" t="str">
        <x:v>DIAG_SET</x:v>
      </x:c>
      <x:c r="E12" s="36" t="str">
        <x:v>v1</x:v>
      </x:c>
    </x:row>
    <x:row r="13" ht="15" hidden="0" customHeight="1">
      <x:c r="A13" s="36" t="str">
        <x:v>TVE/ENT. Замена приставки техником</x:v>
      </x:c>
      <x:c r="B13" s="36" t="n">
        <x:v>45</x:v>
      </x:c>
      <x:c r="C13" s="36" t="str">
        <x:v>NORMAL</x:v>
      </x:c>
      <x:c r="D13" s="36" t="str">
        <x:v>DIAG_SET|TV_BOX</x:v>
      </x:c>
      <x:c r="E13" s="36" t="str">
        <x:v>v1</x:v>
      </x:c>
    </x:row>
    <x:row r="14" ht="15" hidden="0" customHeight="1">
      <x:c r="A14" s="36" t="str">
        <x:v>ТВ. Замена приставки техником</x:v>
      </x:c>
      <x:c r="B14" s="36" t="n">
        <x:v>45</x:v>
      </x:c>
      <x:c r="C14" s="36" t="str">
        <x:v>NORMAL</x:v>
      </x:c>
      <x:c r="D14" s="36" t="str">
        <x:v>DIAG_SET|TV_BOX</x:v>
      </x:c>
      <x:c r="E14" s="36" t="str">
        <x:v>v1</x:v>
      </x:c>
    </x:row>
    <x:row r="15" ht="15" hidden="0" customHeight="1">
      <x:c r="A15" s="36" t="str">
        <x:v>Информация</x:v>
      </x:c>
      <x:c r="B15" s="36" t="n">
        <x:v>20</x:v>
      </x:c>
      <x:c r="C15" s="36" t="str">
        <x:v>NORMAL</x:v>
      </x:c>
      <x:c r="D15" s="36" t="str"/>
      <x:c r="E15" s="36" t="str">
        <x:v>v1</x:v>
      </x:c>
    </x:row>
    <x:row r="16" ht="15" hidden="0" customHeight="1">
      <x:c r="A16" s="36" t="str">
        <x:v>Авария</x:v>
      </x:c>
      <x:c r="B16" s="36" t="n">
        <x:v>90</x:v>
      </x:c>
      <x:c r="C16" s="36" t="str">
        <x:v>URGENT</x:v>
      </x:c>
      <x:c r="D16" s="36" t="str">
        <x:v>DIAG_SET|CABLE_SET|CABLE_PACK</x:v>
      </x:c>
      <x:c r="E16" s="36" t="str">
        <x:v>v1</x:v>
      </x:c>
    </x:row>
    <x:row r="17" ht="15" hidden="0" customHeight="1">
      <x:c r="A17" s="36" t="str">
        <x:v>Низкая скорость</x:v>
      </x:c>
      <x:c r="B17" s="36" t="n">
        <x:v>45</x:v>
      </x:c>
      <x:c r="C17" s="36" t="str">
        <x:v>NORMAL</x:v>
      </x:c>
      <x:c r="D17" s="36" t="str">
        <x:v>DIAG_SET</x:v>
      </x:c>
      <x:c r="E17" s="36" t="str">
        <x:v>v1</x:v>
      </x:c>
    </x:row>
    <x:row r="18" ht="15" hidden="0" customHeight="1">
      <x:c r="A18" s="36" t="str">
        <x:v>Рост ошибок на порту</x:v>
      </x:c>
      <x:c r="B18" s="36" t="n">
        <x:v>45</x:v>
      </x:c>
      <x:c r="C18" s="36" t="str">
        <x:v>NORMAL</x:v>
      </x:c>
      <x:c r="D18" s="36" t="str">
        <x:v>DIAG_SET</x:v>
      </x:c>
      <x:c r="E18" s="36" t="str">
        <x:v>v1</x:v>
      </x:c>
    </x:row>
    <x:row r="19" ht="15" hidden="0" customHeight="1">
      <x:c r="A19" s="36" t="str">
        <x:v>IP-адрес 169...</x:v>
      </x:c>
      <x:c r="B19" s="36" t="n">
        <x:v>40</x:v>
      </x:c>
      <x:c r="C19" s="36" t="str">
        <x:v>NORMAL</x:v>
      </x:c>
      <x:c r="D19" s="36" t="str">
        <x:v>DIAG_SET</x:v>
      </x:c>
      <x:c r="E19" s="36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0b450d78c7c3462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30" hidden="0" customWidth="1"/>
  </x:cols>
  <x:sheetData>
    <x:row r="1" ht="15" hidden="0" customHeight="1">
      <x:c r="A1" s="46" t="str">
        <x:v>hd_type</x:v>
      </x:c>
      <x:c r="B1" s="47" t="str">
        <x:v>equipment_id</x:v>
      </x:c>
      <x:c r="C1" s="47" t="str">
        <x:v>quantity</x:v>
      </x:c>
      <x:c r="D1" s="48" t="str">
        <x:v>condition</x:v>
      </x:c>
    </x:row>
    <x:row r="2" ht="15" hidden="0" customHeight="1">
      <x:c r="A2" s="36" t="str">
        <x:v>Конвергенция абонента</x:v>
      </x:c>
      <x:c r="B2" s="36" t="str">
        <x:v>DIAG_SET</x:v>
      </x:c>
      <x:c r="C2" s="36" t="n">
        <x:v>1</x:v>
      </x:c>
      <x:c r="D2" s="36" t="str">
        <x:v>ALWAYS</x:v>
      </x:c>
    </x:row>
    <x:row r="3" ht="15" hidden="0" customHeight="1">
      <x:c r="A3" s="36" t="str">
        <x:v>Конвергенция абонента</x:v>
      </x:c>
      <x:c r="B3" s="36" t="str">
        <x:v>INSTALL_SET</x:v>
      </x:c>
      <x:c r="C3" s="36" t="n">
        <x:v>1</x:v>
      </x:c>
      <x:c r="D3" s="36" t="str">
        <x:v>ALWAYS</x:v>
      </x:c>
    </x:row>
    <x:row r="4" ht="15" hidden="0" customHeight="1">
      <x:c r="A4" s="36" t="str">
        <x:v>Конвергенция абонента</x:v>
      </x:c>
      <x:c r="B4" s="36" t="str">
        <x:v>CABLE_PACK</x:v>
      </x:c>
      <x:c r="C4" s="36" t="n">
        <x:v>1</x:v>
      </x:c>
      <x:c r="D4" s="36" t="str">
        <x:v>ALWAYS</x:v>
      </x:c>
    </x:row>
    <x:row r="5" ht="15" hidden="0" customHeight="1">
      <x:c r="A5" s="36" t="str">
        <x:v>Заявка на подключение</x:v>
      </x:c>
      <x:c r="B5" s="36" t="str">
        <x:v>DIAG_SET</x:v>
      </x:c>
      <x:c r="C5" s="36" t="n">
        <x:v>1</x:v>
      </x:c>
      <x:c r="D5" s="36" t="str">
        <x:v>ALWAYS</x:v>
      </x:c>
    </x:row>
    <x:row r="6" ht="15" hidden="0" customHeight="1">
      <x:c r="A6" s="36" t="str">
        <x:v>Заявка на подключение</x:v>
      </x:c>
      <x:c r="B6" s="36" t="str">
        <x:v>INSTALL_SET</x:v>
      </x:c>
      <x:c r="C6" s="36" t="n">
        <x:v>1</x:v>
      </x:c>
      <x:c r="D6" s="36" t="str">
        <x:v>ALWAYS</x:v>
      </x:c>
    </x:row>
    <x:row r="7" ht="15" hidden="0" customHeight="1">
      <x:c r="A7" s="36" t="str">
        <x:v>Заявка на подключение</x:v>
      </x:c>
      <x:c r="B7" s="36" t="str">
        <x:v>CABLE_PACK</x:v>
      </x:c>
      <x:c r="C7" s="36" t="n">
        <x:v>1</x:v>
      </x:c>
      <x:c r="D7" s="36" t="str">
        <x:v>ALWAYS</x:v>
      </x:c>
    </x:row>
    <x:row r="8" ht="15" hidden="0" customHeight="1">
      <x:c r="A8" s="36" t="str">
        <x:v>Заказ подключения/Дозаказ оборудования</x:v>
      </x:c>
      <x:c r="B8" s="36" t="str">
        <x:v>DIAG_SET</x:v>
      </x:c>
      <x:c r="C8" s="36" t="n">
        <x:v>1</x:v>
      </x:c>
      <x:c r="D8" s="36" t="str">
        <x:v>ALWAYS</x:v>
      </x:c>
    </x:row>
    <x:row r="9" ht="15" hidden="0" customHeight="1">
      <x:c r="A9" s="36" t="str">
        <x:v>Заказ подключения/Дозаказ оборудования</x:v>
      </x:c>
      <x:c r="B9" s="36" t="str">
        <x:v>INSTALL_SET</x:v>
      </x:c>
      <x:c r="C9" s="36" t="n">
        <x:v>1</x:v>
      </x:c>
      <x:c r="D9" s="36" t="str">
        <x:v>ALWAYS</x:v>
      </x:c>
    </x:row>
    <x:row r="10" ht="15" hidden="0" customHeight="1">
      <x:c r="A10" s="36" t="str">
        <x:v>Заказ подключения/Дозаказ оборудования</x:v>
      </x:c>
      <x:c r="B10" s="36" t="str">
        <x:v>CABLE_PACK</x:v>
      </x:c>
      <x:c r="C10" s="36" t="n">
        <x:v>1</x:v>
      </x:c>
      <x:c r="D10" s="36" t="str">
        <x:v>ALWAYS</x:v>
      </x:c>
    </x:row>
    <x:row r="11" ht="15" hidden="0" customHeight="1">
      <x:c r="A11" s="36" t="str">
        <x:v>Дозаказ оборудования</x:v>
      </x:c>
      <x:c r="B11" s="36" t="str">
        <x:v>DIAG_SET</x:v>
      </x:c>
      <x:c r="C11" s="36" t="n">
        <x:v>1</x:v>
      </x:c>
      <x:c r="D11" s="36" t="str">
        <x:v>ALWAYS</x:v>
      </x:c>
    </x:row>
    <x:row r="12" ht="15" hidden="0" customHeight="1">
      <x:c r="A12" s="36" t="str">
        <x:v>Дозаказ оборудования</x:v>
      </x:c>
      <x:c r="B12" s="36" t="str">
        <x:v>INSTALL_SET</x:v>
      </x:c>
      <x:c r="C12" s="36" t="n">
        <x:v>1</x:v>
      </x:c>
      <x:c r="D12" s="36" t="str">
        <x:v>ALWAYS</x:v>
      </x:c>
    </x:row>
    <x:row r="13" ht="15" hidden="0" customHeight="1">
      <x:c r="A13" s="36" t="str">
        <x:v>Нет линка</x:v>
      </x:c>
      <x:c r="B13" s="36" t="str">
        <x:v>DIAG_SET</x:v>
      </x:c>
      <x:c r="C13" s="36" t="n">
        <x:v>1</x:v>
      </x:c>
      <x:c r="D13" s="36" t="str">
        <x:v>ALWAYS</x:v>
      </x:c>
    </x:row>
    <x:row r="14" ht="15" hidden="0" customHeight="1">
      <x:c r="A14" s="36" t="str">
        <x:v>Переключение на Гбит/с</x:v>
      </x:c>
      <x:c r="B14" s="36" t="str">
        <x:v>DIAG_SET</x:v>
      </x:c>
      <x:c r="C14" s="36" t="n">
        <x:v>1</x:v>
      </x:c>
      <x:c r="D14" s="36" t="str">
        <x:v>ALWAYS</x:v>
      </x:c>
    </x:row>
    <x:row r="15" ht="15" hidden="0" customHeight="1">
      <x:c r="A15" s="36" t="str">
        <x:v>Переключение на Гбит/с</x:v>
      </x:c>
      <x:c r="B15" s="36" t="str">
        <x:v>INSTALL_SET</x:v>
      </x:c>
      <x:c r="C15" s="36" t="n">
        <x:v>1</x:v>
      </x:c>
      <x:c r="D15" s="36" t="str">
        <x:v>ALWAYS</x:v>
      </x:c>
    </x:row>
    <x:row r="16" ht="15" hidden="0" customHeight="1">
      <x:c r="A16" s="36" t="str">
        <x:v>Мониторинг</x:v>
      </x:c>
      <x:c r="B16" s="36" t="str">
        <x:v>DIAG_SET</x:v>
      </x:c>
      <x:c r="C16" s="36" t="n">
        <x:v>1</x:v>
      </x:c>
      <x:c r="D16" s="36" t="str">
        <x:v>ALWAYS</x:v>
      </x:c>
    </x:row>
    <x:row r="17" ht="15" hidden="0" customHeight="1">
      <x:c r="A17" s="36" t="str">
        <x:v>Разрывы</x:v>
      </x:c>
      <x:c r="B17" s="36" t="str">
        <x:v>DIAG_SET</x:v>
      </x:c>
      <x:c r="C17" s="36" t="n">
        <x:v>1</x:v>
      </x:c>
      <x:c r="D17" s="36" t="str">
        <x:v>ALWAYS</x:v>
      </x:c>
    </x:row>
    <x:row r="18" ht="15" hidden="0" customHeight="1">
      <x:c r="A18" s="36" t="str">
        <x:v>Работа с кабелем</x:v>
      </x:c>
      <x:c r="B18" s="36" t="str">
        <x:v>DIAG_SET</x:v>
      </x:c>
      <x:c r="C18" s="36" t="n">
        <x:v>1</x:v>
      </x:c>
      <x:c r="D18" s="36" t="str">
        <x:v>ALWAYS</x:v>
      </x:c>
    </x:row>
    <x:row r="19" ht="15" hidden="0" customHeight="1">
      <x:c r="A19" s="36" t="str">
        <x:v>Работа с кабелем</x:v>
      </x:c>
      <x:c r="B19" s="36" t="str">
        <x:v>CABLE_SET</x:v>
      </x:c>
      <x:c r="C19" s="36" t="n">
        <x:v>1</x:v>
      </x:c>
      <x:c r="D19" s="36" t="str">
        <x:v>ALWAYS</x:v>
      </x:c>
    </x:row>
    <x:row r="20" ht="15" hidden="0" customHeight="1">
      <x:c r="A20" s="36" t="str">
        <x:v>Работа с кабелем</x:v>
      </x:c>
      <x:c r="B20" s="36" t="str">
        <x:v>CABLE_PACK</x:v>
      </x:c>
      <x:c r="C20" s="36" t="n">
        <x:v>1</x:v>
      </x:c>
      <x:c r="D20" s="36" t="str">
        <x:v>ALWAYS</x:v>
      </x:c>
    </x:row>
    <x:row r="21" ht="15" hidden="0" customHeight="1">
      <x:c r="A21" s="36" t="str">
        <x:v>Роутер. Замена техническим специалистом</x:v>
      </x:c>
      <x:c r="B21" s="36" t="str">
        <x:v>DIAG_SET</x:v>
      </x:c>
      <x:c r="C21" s="36" t="n">
        <x:v>1</x:v>
      </x:c>
      <x:c r="D21" s="36" t="str">
        <x:v>ALWAYS</x:v>
      </x:c>
    </x:row>
    <x:row r="22" ht="15" hidden="0" customHeight="1">
      <x:c r="A22" s="36" t="str">
        <x:v>Роутер. Замена техническим специалистом</x:v>
      </x:c>
      <x:c r="B22" s="36" t="str">
        <x:v>ROUTER</x:v>
      </x:c>
      <x:c r="C22" s="36" t="n">
        <x:v>1</x:v>
      </x:c>
      <x:c r="D22" s="36" t="str">
        <x:v>ALWAYS</x:v>
      </x:c>
    </x:row>
    <x:row r="23" ht="15" hidden="0" customHeight="1">
      <x:c r="A23" s="36" t="str">
        <x:v>TVE/ENT. Другие ошибки</x:v>
      </x:c>
      <x:c r="B23" s="36" t="str">
        <x:v>DIAG_SET</x:v>
      </x:c>
      <x:c r="C23" s="36" t="n">
        <x:v>1</x:v>
      </x:c>
      <x:c r="D23" s="36" t="str">
        <x:v>ALWAYS</x:v>
      </x:c>
    </x:row>
    <x:row r="24" ht="15" hidden="0" customHeight="1">
      <x:c r="A24" s="36" t="str">
        <x:v>TVE/ENT. Замена приставки техником</x:v>
      </x:c>
      <x:c r="B24" s="36" t="str">
        <x:v>DIAG_SET</x:v>
      </x:c>
      <x:c r="C24" s="36" t="n">
        <x:v>1</x:v>
      </x:c>
      <x:c r="D24" s="36" t="str">
        <x:v>ALWAYS</x:v>
      </x:c>
    </x:row>
    <x:row r="25" ht="15" hidden="0" customHeight="1">
      <x:c r="A25" s="36" t="str">
        <x:v>TVE/ENT. Замена приставки техником</x:v>
      </x:c>
      <x:c r="B25" s="36" t="str">
        <x:v>TV_BOX</x:v>
      </x:c>
      <x:c r="C25" s="36" t="n">
        <x:v>1</x:v>
      </x:c>
      <x:c r="D25" s="36" t="str">
        <x:v>ALWAYS</x:v>
      </x:c>
    </x:row>
    <x:row r="26" ht="15" hidden="0" customHeight="1">
      <x:c r="A26" s="36" t="str">
        <x:v>ТВ. Замена приставки техником</x:v>
      </x:c>
      <x:c r="B26" s="36" t="str">
        <x:v>DIAG_SET</x:v>
      </x:c>
      <x:c r="C26" s="36" t="n">
        <x:v>1</x:v>
      </x:c>
      <x:c r="D26" s="36" t="str">
        <x:v>ALWAYS</x:v>
      </x:c>
    </x:row>
    <x:row r="27" ht="15" hidden="0" customHeight="1">
      <x:c r="A27" s="36" t="str">
        <x:v>ТВ. Замена приставки техником</x:v>
      </x:c>
      <x:c r="B27" s="36" t="str">
        <x:v>TV_BOX</x:v>
      </x:c>
      <x:c r="C27" s="36" t="n">
        <x:v>1</x:v>
      </x:c>
      <x:c r="D27" s="36" t="str">
        <x:v>ALWAYS</x:v>
      </x:c>
    </x:row>
    <x:row r="28" ht="15" hidden="0" customHeight="1">
      <x:c r="A28" s="36" t="str">
        <x:v>Авария</x:v>
      </x:c>
      <x:c r="B28" s="36" t="str">
        <x:v>DIAG_SET</x:v>
      </x:c>
      <x:c r="C28" s="36" t="n">
        <x:v>1</x:v>
      </x:c>
      <x:c r="D28" s="36" t="str">
        <x:v>ALWAYS</x:v>
      </x:c>
    </x:row>
    <x:row r="29" ht="15" hidden="0" customHeight="1">
      <x:c r="A29" s="36" t="str">
        <x:v>Авария</x:v>
      </x:c>
      <x:c r="B29" s="36" t="str">
        <x:v>CABLE_SET</x:v>
      </x:c>
      <x:c r="C29" s="36" t="n">
        <x:v>1</x:v>
      </x:c>
      <x:c r="D29" s="36" t="str">
        <x:v>ALWAYS</x:v>
      </x:c>
    </x:row>
    <x:row r="30" ht="15" hidden="0" customHeight="1">
      <x:c r="A30" s="36" t="str">
        <x:v>Авария</x:v>
      </x:c>
      <x:c r="B30" s="36" t="str">
        <x:v>CABLE_PACK</x:v>
      </x:c>
      <x:c r="C30" s="36" t="n">
        <x:v>1</x:v>
      </x:c>
      <x:c r="D30" s="36" t="str">
        <x:v>ALWAYS</x:v>
      </x:c>
    </x:row>
    <x:row r="31" ht="15" hidden="0" customHeight="1">
      <x:c r="A31" s="36" t="str">
        <x:v>Низкая скорость</x:v>
      </x:c>
      <x:c r="B31" s="36" t="str">
        <x:v>DIAG_SET</x:v>
      </x:c>
      <x:c r="C31" s="36" t="n">
        <x:v>1</x:v>
      </x:c>
      <x:c r="D31" s="36" t="str">
        <x:v>ALWAYS</x:v>
      </x:c>
    </x:row>
    <x:row r="32" ht="15" hidden="0" customHeight="1">
      <x:c r="A32" s="36" t="str">
        <x:v>Рост ошибок на порту</x:v>
      </x:c>
      <x:c r="B32" s="36" t="str">
        <x:v>DIAG_SET</x:v>
      </x:c>
      <x:c r="C32" s="36" t="n">
        <x:v>1</x:v>
      </x:c>
      <x:c r="D32" s="36" t="str">
        <x:v>ALWAYS</x:v>
      </x:c>
    </x:row>
    <x:row r="33" ht="15" hidden="0" customHeight="1">
      <x:c r="A33" s="36" t="str">
        <x:v>IP-адрес 169...</x:v>
      </x:c>
      <x:c r="B33" s="36" t="str">
        <x:v>DIAG_SET</x:v>
      </x:c>
      <x:c r="C33" s="36" t="n">
        <x:v>1</x:v>
      </x:c>
      <x:c r="D33" s="36" t="str">
        <x:v>ALWAYS</x:v>
      </x:c>
    </x:row>
    <x:row r="34" ht="15" hidden="0" customHeight="1">
      <x:c r="A34" s="36" t="str">
        <x:v>Любая работа</x:v>
      </x:c>
      <x:c r="B34" s="36" t="str">
        <x:v>ONT_GIGABIT</x:v>
      </x:c>
      <x:c r="C34" s="36" t="n">
        <x:v>1</x:v>
      </x:c>
      <x:c r="D34" s="36" t="str">
        <x:v>gigabit_required == Да</x:v>
      </x:c>
    </x:row>
  </x:sheetData>
  <x:pageMargins left="0.7" right="0.7" top="0.75" bottom="0.75" header="0.3" footer="0.3"/>
  <x:tableParts count="1">
    <x:tablePart xmlns:r="http://schemas.openxmlformats.org/officeDocument/2006/relationships" r:id="Re2ce4ef33bf64e03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60" hidden="0" customWidth="1"/>
  </x:cols>
  <x:sheetData>
    <x:row r="1" ht="15" hidden="0" customHeight="1">
      <x:c r="A1" s="46" t="str">
        <x:v>profile_id</x:v>
      </x:c>
      <x:c r="B1" s="47" t="str">
        <x:v>transport_type</x:v>
      </x:c>
      <x:c r="C1" s="47" t="str">
        <x:v>day_type</x:v>
      </x:c>
      <x:c r="D1" s="47" t="str">
        <x:v>time_from</x:v>
      </x:c>
      <x:c r="E1" s="47" t="str">
        <x:v>time_to</x:v>
      </x:c>
      <x:c r="F1" s="47" t="str">
        <x:v>multiplier</x:v>
      </x:c>
      <x:c r="G1" s="47" t="str">
        <x:v>fixed_minutes</x:v>
      </x:c>
      <x:c r="H1" s="47" t="str">
        <x:v>base_source</x:v>
      </x:c>
      <x:c r="I1" s="47" t="str">
        <x:v>base_speed_kmh</x:v>
      </x:c>
      <x:c r="J1" s="48" t="str">
        <x:v>notes</x:v>
      </x:c>
    </x:row>
    <x:row r="2" ht="15" hidden="0" customHeight="1">
      <x:c r="A2" s="36" t="str">
        <x:v>CAR-WD-1</x:v>
      </x:c>
      <x:c r="B2" s="36" t="str">
        <x:v>CAR</x:v>
      </x:c>
      <x:c r="C2" s="36" t="str">
        <x:v>WEEKDAY</x:v>
      </x:c>
      <x:c r="D2" s="36" t="str">
        <x:v>00:00</x:v>
      </x:c>
      <x:c r="E2" s="36" t="str">
        <x:v>07:00</x:v>
      </x:c>
      <x:c r="F2" s="36" t="n">
        <x:v>1</x:v>
      </x:c>
      <x:c r="G2" s="36" t="n">
        <x:v>0</x:v>
      </x:c>
      <x:c r="H2" s="36" t="str">
        <x:v>OSRM</x:v>
      </x:c>
      <x:c r="I2" s="36"/>
      <x:c r="J2" s="36" t="str">
        <x:v>Свободное движение</x:v>
      </x:c>
    </x:row>
    <x:row r="3" ht="15" hidden="0" customHeight="1">
      <x:c r="A3" s="36" t="str">
        <x:v>CAR-WD-2</x:v>
      </x:c>
      <x:c r="B3" s="36" t="str">
        <x:v>CAR</x:v>
      </x:c>
      <x:c r="C3" s="36" t="str">
        <x:v>WEEKDAY</x:v>
      </x:c>
      <x:c r="D3" s="36" t="str">
        <x:v>07:00</x:v>
      </x:c>
      <x:c r="E3" s="36" t="str">
        <x:v>10:00</x:v>
      </x:c>
      <x:c r="F3" s="36" t="n">
        <x:v>1.45</x:v>
      </x:c>
      <x:c r="G3" s="36" t="n">
        <x:v>0</x:v>
      </x:c>
      <x:c r="H3" s="36" t="str">
        <x:v>OSRM</x:v>
      </x:c>
      <x:c r="I3" s="36"/>
      <x:c r="J3" s="36" t="str">
        <x:v>Утренний час пик</x:v>
      </x:c>
    </x:row>
    <x:row r="4" ht="15" hidden="0" customHeight="1">
      <x:c r="A4" s="36" t="str">
        <x:v>CAR-WD-3</x:v>
      </x:c>
      <x:c r="B4" s="36" t="str">
        <x:v>CAR</x:v>
      </x:c>
      <x:c r="C4" s="36" t="str">
        <x:v>WEEKDAY</x:v>
      </x:c>
      <x:c r="D4" s="36" t="str">
        <x:v>10:00</x:v>
      </x:c>
      <x:c r="E4" s="36" t="str">
        <x:v>16:30</x:v>
      </x:c>
      <x:c r="F4" s="36" t="n">
        <x:v>1.15</x:v>
      </x:c>
      <x:c r="G4" s="36" t="n">
        <x:v>0</x:v>
      </x:c>
      <x:c r="H4" s="36" t="str">
        <x:v>OSRM</x:v>
      </x:c>
      <x:c r="I4" s="36"/>
      <x:c r="J4" s="36" t="str">
        <x:v>Дневная загрузка</x:v>
      </x:c>
    </x:row>
    <x:row r="5" ht="15" hidden="0" customHeight="1">
      <x:c r="A5" s="36" t="str">
        <x:v>CAR-WD-4</x:v>
      </x:c>
      <x:c r="B5" s="36" t="str">
        <x:v>CAR</x:v>
      </x:c>
      <x:c r="C5" s="36" t="str">
        <x:v>WEEKDAY</x:v>
      </x:c>
      <x:c r="D5" s="36" t="str">
        <x:v>16:30</x:v>
      </x:c>
      <x:c r="E5" s="36" t="str">
        <x:v>19:30</x:v>
      </x:c>
      <x:c r="F5" s="36" t="n">
        <x:v>1.65</x:v>
      </x:c>
      <x:c r="G5" s="36" t="n">
        <x:v>0</x:v>
      </x:c>
      <x:c r="H5" s="36" t="str">
        <x:v>OSRM</x:v>
      </x:c>
      <x:c r="I5" s="36"/>
      <x:c r="J5" s="36" t="str">
        <x:v>Вечерний час пик</x:v>
      </x:c>
    </x:row>
    <x:row r="6" ht="15" hidden="0" customHeight="1">
      <x:c r="A6" s="36" t="str">
        <x:v>CAR-WD-5</x:v>
      </x:c>
      <x:c r="B6" s="36" t="str">
        <x:v>CAR</x:v>
      </x:c>
      <x:c r="C6" s="36" t="str">
        <x:v>WEEKDAY</x:v>
      </x:c>
      <x:c r="D6" s="36" t="str">
        <x:v>19:30</x:v>
      </x:c>
      <x:c r="E6" s="36" t="str">
        <x:v>22:30</x:v>
      </x:c>
      <x:c r="F6" s="36" t="n">
        <x:v>1.25</x:v>
      </x:c>
      <x:c r="G6" s="36" t="n">
        <x:v>0</x:v>
      </x:c>
      <x:c r="H6" s="36" t="str">
        <x:v>OSRM</x:v>
      </x:c>
      <x:c r="I6" s="36"/>
      <x:c r="J6" s="36" t="str">
        <x:v>Вечерняя загрузка</x:v>
      </x:c>
    </x:row>
    <x:row r="7" ht="15" hidden="0" customHeight="1">
      <x:c r="A7" s="36" t="str">
        <x:v>CAR-WD-6</x:v>
      </x:c>
      <x:c r="B7" s="36" t="str">
        <x:v>CAR</x:v>
      </x:c>
      <x:c r="C7" s="36" t="str">
        <x:v>WEEKDAY</x:v>
      </x:c>
      <x:c r="D7" s="36" t="str">
        <x:v>22:30</x:v>
      </x:c>
      <x:c r="E7" s="36" t="str">
        <x:v>24:00</x:v>
      </x:c>
      <x:c r="F7" s="36" t="n">
        <x:v>1.05</x:v>
      </x:c>
      <x:c r="G7" s="36" t="n">
        <x:v>0</x:v>
      </x:c>
      <x:c r="H7" s="36" t="str">
        <x:v>OSRM</x:v>
      </x:c>
      <x:c r="I7" s="36"/>
      <x:c r="J7" s="36" t="str">
        <x:v>Поздний вечер</x:v>
      </x:c>
    </x:row>
    <x:row r="8" ht="15" hidden="0" customHeight="1">
      <x:c r="A8" s="36" t="str">
        <x:v>TRANSIT-WD</x:v>
      </x:c>
      <x:c r="B8" s="36" t="str">
        <x:v>PUBLIC_TRANSIT</x:v>
      </x:c>
      <x:c r="C8" s="36" t="str">
        <x:v>WEEKDAY</x:v>
      </x:c>
      <x:c r="D8" s="36" t="str">
        <x:v>00:00</x:v>
      </x:c>
      <x:c r="E8" s="36" t="str">
        <x:v>24:00</x:v>
      </x:c>
      <x:c r="F8" s="36" t="n">
        <x:v>1</x:v>
      </x:c>
      <x:c r="G8" s="36" t="n">
        <x:v>12</x:v>
      </x:c>
      <x:c r="H8" s="36" t="str">
        <x:v>ESTIMATED_SPEED</x:v>
      </x:c>
      <x:c r="I8" s="36" t="n">
        <x:v>22</x:v>
      </x:c>
      <x:c r="J8" s="36" t="str">
        <x:v>Доступ к остановке и ожидание добавляются отдельно</x:v>
      </x:c>
    </x:row>
    <x:row r="9" ht="15" hidden="0" customHeight="1">
      <x:c r="A9" s="36" t="str">
        <x:v>BICYCLE-WD</x:v>
      </x:c>
      <x:c r="B9" s="36" t="str">
        <x:v>BICYCLE</x:v>
      </x:c>
      <x:c r="C9" s="36" t="str">
        <x:v>WEEKDAY</x:v>
      </x:c>
      <x:c r="D9" s="36" t="str">
        <x:v>00:00</x:v>
      </x:c>
      <x:c r="E9" s="36" t="str">
        <x:v>24:00</x:v>
      </x:c>
      <x:c r="F9" s="36" t="n">
        <x:v>1</x:v>
      </x:c>
      <x:c r="G9" s="36" t="n">
        <x:v>0</x:v>
      </x:c>
      <x:c r="H9" s="36" t="str">
        <x:v>ESTIMATED_SPEED</x:v>
      </x:c>
      <x:c r="I9" s="36" t="n">
        <x:v>15</x:v>
      </x:c>
      <x:c r="J9" s="36" t="str">
        <x:v>Пробки не применяются</x:v>
      </x:c>
    </x:row>
    <x:row r="10" ht="15" hidden="0" customHeight="1">
      <x:c r="A10" s="36" t="str">
        <x:v>WALKING-WD</x:v>
      </x:c>
      <x:c r="B10" s="36" t="str">
        <x:v>WALKING</x:v>
      </x:c>
      <x:c r="C10" s="36" t="str">
        <x:v>WEEKDAY</x:v>
      </x:c>
      <x:c r="D10" s="36" t="str">
        <x:v>00:00</x:v>
      </x:c>
      <x:c r="E10" s="36" t="str">
        <x:v>24:00</x:v>
      </x:c>
      <x:c r="F10" s="36" t="n">
        <x:v>1</x:v>
      </x:c>
      <x:c r="G10" s="36" t="n">
        <x:v>0</x:v>
      </x:c>
      <x:c r="H10" s="36" t="str">
        <x:v>ESTIMATED_SPEED</x:v>
      </x:c>
      <x:c r="I10" s="36" t="n">
        <x:v>4.5</x:v>
      </x:c>
      <x:c r="J10" s="36" t="str">
        <x:v>Пробки не применяются</x:v>
      </x:c>
    </x:row>
  </x:sheetData>
  <x:pageMargins left="0.7" right="0.7" top="0.75" bottom="0.75" header="0.3" footer="0.3"/>
  <x:tableParts count="1">
    <x:tablePart xmlns:r="http://schemas.openxmlformats.org/officeDocument/2006/relationships" r:id="R9418e804fbcc4a40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12" hidden="0" customWidth="1"/>
    <x:col min="3" max="3" width="52" hidden="0" customWidth="1"/>
  </x:cols>
  <x:sheetData>
    <x:row r="1" ht="15" hidden="0" customHeight="1">
      <x:c r="A1" s="46" t="str">
        <x:v>check</x:v>
      </x:c>
      <x:c r="B1" s="47" t="str">
        <x:v>status</x:v>
      </x:c>
      <x:c r="C1" s="48" t="str">
        <x:v>details</x:v>
      </x:c>
    </x:row>
    <x:row r="2" ht="15" hidden="0" customHeight="1">
      <x:c r="A2" s="36" t="str">
        <x:v>Количество исходных заявок</x:v>
      </x:c>
      <x:c r="B2" s="36" t="str">
        <x:v>PASS</x:v>
      </x:c>
      <x:c r="C2" s="36" t="str">
        <x:v>Получено 205, ожидается 205</x:v>
      </x:c>
    </x:row>
    <x:row r="3" ht="15" hidden="0" customHeight="1">
      <x:c r="A3" s="36" t="str">
        <x:v>Количество инженеров</x:v>
      </x:c>
      <x:c r="B3" s="36" t="str">
        <x:v>PASS</x:v>
      </x:c>
      <x:c r="C3" s="36" t="str">
        <x:v>Получено 35, ожидается 35 зональных записей</x:v>
      </x:c>
    </x:row>
    <x:row r="4" ht="15" hidden="0" customHeight="1">
      <x:c r="A4" s="36" t="str">
        <x:v>Уникальность job_id CORE</x:v>
      </x:c>
      <x:c r="B4" s="36" t="str">
        <x:v>PASS</x:v>
      </x:c>
      <x:c r="C4" s="36" t="str">
        <x:v>206 строк</x:v>
      </x:c>
    </x:row>
    <x:row r="5" ht="15" hidden="0" customHeight="1">
      <x:c r="A5" s="36" t="str">
        <x:v>Уникальность job_id STRESS</x:v>
      </x:c>
      <x:c r="B5" s="36" t="str">
        <x:v>PASS</x:v>
      </x:c>
      <x:c r="C5" s="36" t="str">
        <x:v>207 строк</x:v>
      </x:c>
    </x:row>
    <x:row r="6" ht="15" hidden="0" customHeight="1">
      <x:c r="A6" s="36" t="str">
        <x:v>Все типы транспорта представлены</x:v>
      </x:c>
      <x:c r="B6" s="36" t="str">
        <x:v>PASS</x:v>
      </x:c>
      <x:c r="C6" s="36" t="str">
        <x:v>PUBLIC_TRANSIT, CAR, WALKING, BICYCLE</x:v>
      </x:c>
    </x:row>
    <x:row r="7" ht="15" hidden="0" customHeight="1">
      <x:c r="A7" s="36" t="str">
        <x:v>Все работы имеют правила</x:v>
      </x:c>
      <x:c r="B7" s="36" t="str">
        <x:v>PASS</x:v>
      </x:c>
      <x:c r="C7" s="36" t="str">
        <x:v>18 типов HD</x:v>
      </x:c>
    </x:row>
    <x:row r="8" ht="15" hidden="0" customHeight="1">
      <x:c r="A8" s="36" t="str">
        <x:v>Все заявки имеют навык</x:v>
      </x:c>
      <x:c r="B8" s="36" t="str">
        <x:v>PASS</x:v>
      </x:c>
      <x:c r="C8" s="36" t="str">
        <x:v>Пустых required_skill нет</x:v>
      </x:c>
    </x:row>
    <x:row r="9" ht="15" hidden="0" customHeight="1">
      <x:c r="A9" s="36" t="str">
        <x:v>Все заявки имеют длительность</x:v>
      </x:c>
      <x:c r="B9" s="36" t="str">
        <x:v>PASS</x:v>
      </x:c>
      <x:c r="C9" s="36" t="str">
        <x:v>Длительность задана в минутах</x:v>
      </x:c>
    </x:row>
    <x:row r="10" ht="15" hidden="0" customHeight="1">
      <x:c r="A10" s="36" t="str">
        <x:v>Покрытие EAST/LOCAL</x:v>
      </x:c>
      <x:c r="B10" s="36" t="str">
        <x:v>PASS</x:v>
      </x:c>
      <x:c r="C10" s="36" t="str">
        <x:v>8 инженеров</x:v>
      </x:c>
    </x:row>
    <x:row r="11" ht="15" hidden="0" customHeight="1">
      <x:c r="A11" s="36" t="str">
        <x:v>Покрытие EAST/INSTALL</x:v>
      </x:c>
      <x:c r="B11" s="36" t="str">
        <x:v>PASS</x:v>
      </x:c>
      <x:c r="C11" s="36" t="str">
        <x:v>8 инженеров</x:v>
      </x:c>
    </x:row>
    <x:row r="12" ht="15" hidden="0" customHeight="1">
      <x:c r="A12" s="36" t="str">
        <x:v>Покрытие EAST/EMERGENCY</x:v>
      </x:c>
      <x:c r="B12" s="36" t="str">
        <x:v>PASS</x:v>
      </x:c>
      <x:c r="C12" s="36" t="str">
        <x:v>7 инженеров</x:v>
      </x:c>
    </x:row>
    <x:row r="13" ht="15" hidden="0" customHeight="1">
      <x:c r="A13" s="36" t="str">
        <x:v>Покрытие SOUTHEAST/LOCAL</x:v>
      </x:c>
      <x:c r="B13" s="36" t="str">
        <x:v>PASS</x:v>
      </x:c>
      <x:c r="C13" s="36" t="str">
        <x:v>8 инженеров</x:v>
      </x:c>
    </x:row>
    <x:row r="14" ht="15" hidden="0" customHeight="1">
      <x:c r="A14" s="36" t="str">
        <x:v>Покрытие SOUTHEAST/INSTALL</x:v>
      </x:c>
      <x:c r="B14" s="36" t="str">
        <x:v>PASS</x:v>
      </x:c>
      <x:c r="C14" s="36" t="str">
        <x:v>8 инженеров</x:v>
      </x:c>
    </x:row>
    <x:row r="15" ht="15" hidden="0" customHeight="1">
      <x:c r="A15" s="36" t="str">
        <x:v>Покрытие SOUTHEAST/EMERGENCY</x:v>
      </x:c>
      <x:c r="B15" s="36" t="str">
        <x:v>PASS</x:v>
      </x:c>
      <x:c r="C15" s="36" t="str">
        <x:v>7 инженеров</x:v>
      </x:c>
    </x:row>
    <x:row r="16" ht="15" hidden="0" customHeight="1">
      <x:c r="A16" s="36" t="str">
        <x:v>Покрытие SOUTHCENTER/LOCAL</x:v>
      </x:c>
      <x:c r="B16" s="36" t="str">
        <x:v>PASS</x:v>
      </x:c>
      <x:c r="C16" s="36" t="str">
        <x:v>7 инженеров</x:v>
      </x:c>
    </x:row>
    <x:row r="17" ht="15" hidden="0" customHeight="1">
      <x:c r="A17" s="36" t="str">
        <x:v>Покрытие SOUTHCENTER/INSTALL</x:v>
      </x:c>
      <x:c r="B17" s="36" t="str">
        <x:v>PASS</x:v>
      </x:c>
      <x:c r="C17" s="36" t="str">
        <x:v>7 инженеров</x:v>
      </x:c>
    </x:row>
    <x:row r="18" ht="15" hidden="0" customHeight="1">
      <x:c r="A18" s="36" t="str">
        <x:v>Покрытие SOUTHCENTER/EMERGENCY</x:v>
      </x:c>
      <x:c r="B18" s="36" t="str">
        <x:v>PASS</x:v>
      </x:c>
      <x:c r="C18" s="36" t="str">
        <x:v>7 инженеров</x:v>
      </x:c>
    </x:row>
    <x:row r="19" ht="15" hidden="0" customHeight="1">
      <x:c r="A19" s="36" t="str">
        <x:v>Минимум два кандидата на CORE-заявку с учётом смены</x:v>
      </x:c>
      <x:c r="B19" s="36" t="str">
        <x:v>PASS</x:v>
      </x:c>
      <x:c r="C19" s="36" t="str">
        <x:v>Минимум 2 кандидата</x:v>
      </x:c>
    </x:row>
    <x:row r="20" ht="15" hidden="0" customHeight="1">
      <x:c r="A20" s="36" t="str">
        <x:v>Нижняя граница загрузки EAST</x:v>
      </x:c>
      <x:c r="B20" s="36" t="str">
        <x:v>PASS</x:v>
      </x:c>
      <x:c r="C20" s="36" t="str">
        <x:v>3740 мин работ / 7200 мин плановой ёмкости без учёта дороги</x:v>
      </x:c>
    </x:row>
    <x:row r="21" ht="15" hidden="0" customHeight="1">
      <x:c r="A21" s="36" t="str">
        <x:v>Нижняя граница загрузки SOUTHEAST</x:v>
      </x:c>
      <x:c r="B21" s="36" t="str">
        <x:v>PASS</x:v>
      </x:c>
      <x:c r="C21" s="36" t="str">
        <x:v>5190 мин работ / 7200 мин плановой ёмкости без учёта дороги</x:v>
      </x:c>
    </x:row>
    <x:row r="22" ht="15" hidden="0" customHeight="1">
      <x:c r="A22" s="36" t="str">
        <x:v>Нижняя граница загрузки SOUTHCENTER</x:v>
      </x:c>
      <x:c r="B22" s="36" t="str">
        <x:v>PASS</x:v>
      </x:c>
      <x:c r="C22" s="36" t="str">
        <x:v>3150 мин работ / 6600 мин плановой ёмкости без учёта дороги</x:v>
      </x:c>
    </x:row>
    <x:row r="23" ht="15" hidden="0" customHeight="1">
      <x:c r="A23" s="36" t="str">
        <x:v>CORE-инвентарь покрывает спрос</x:v>
      </x:c>
      <x:c r="B23" s="36" t="str">
        <x:v>PASS</x:v>
      </x:c>
      <x:c r="C23" s="36" t="str">
        <x:v>Дефицитов нет</x:v>
      </x:c>
    </x:row>
    <x:row r="24" ht="15" hidden="0" customHeight="1">
      <x:c r="A24" s="36" t="str">
        <x:v>STRESS содержит ожидаемый дефицит ONT</x:v>
      </x:c>
      <x:c r="B24" s="36" t="str">
        <x:v>PASS</x:v>
      </x:c>
      <x:c r="C24" s="36" t="str">
        <x:v>Дефицит 1 шт.</x:v>
      </x:c>
    </x:row>
    <x:row r="25" ht="15" hidden="0" customHeight="1">
      <x:c r="A25" s="36" t="str">
        <x:v>События ссылаются на существующие объекты</x:v>
      </x:c>
      <x:c r="B25" s="36" t="str">
        <x:v>PASS</x:v>
      </x:c>
      <x:c r="C25" s="36" t="str">
        <x:v>4 события</x:v>
      </x:c>
    </x:row>
  </x:sheetData>
  <x:pageMargins left="0.7" right="0.7" top="0.75" bottom="0.75" header="0.3" footer="0.3"/>
  <x:tableParts count="1">
    <x:tablePart xmlns:r="http://schemas.openxmlformats.org/officeDocument/2006/relationships" r:id="R85a6a7fccc264644"/>
  </x:tableParts>
</x:worksheet>
</file>

<file path=xl/worksheets/sheet19.xml><?xml version="1.0" encoding="utf-8"?>
<x:worksheet xmlns:x="http://schemas.openxmlformats.org/spreadsheetml/2006/main">
  <x:sheetPr>
    <x:tabColor rgb="FF8E5AA7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23"/>
      <x:c r="B1" s="23"/>
    </x:row>
    <x:row r="2">
      <x:c r="A2" s="1" t="str">
        <x:v>Правила набора данных</x:v>
      </x:c>
      <x:c r="B2" s="1"/>
      <x:c r="C2" s="1"/>
      <x:c r="D2" s="1"/>
      <x:c r="E2" s="1"/>
      <x:c r="F2" s="1"/>
    </x:row>
    <x:row r="3">
      <x:c r="A3" s="23"/>
      <x:c r="B3" s="23"/>
    </x:row>
    <x:row r="4">
      <x:c r="A4" s="23"/>
      <x:c r="B4" s="23"/>
    </x:row>
    <x:row r="5">
      <x:c r="A5" s="52" t="str">
        <x:v>Версия</x:v>
      </x:c>
      <x:c r="B5" s="57" t="str">
        <x:v>1.0.0</x:v>
      </x:c>
    </x:row>
    <x:row r="6">
      <x:c r="A6" s="54" t="str">
        <x:v>Seed</x:v>
      </x:c>
      <x:c r="B6" s="30" t="str">
        <x:v>20260915</x:v>
      </x:c>
    </x:row>
    <x:row r="7">
      <x:c r="A7" s="54" t="str">
        <x:v>Дата планирования</x:v>
      </x:c>
      <x:c r="B7" s="30" t="str">
        <x:v>2026-08-17</x:v>
      </x:c>
    </x:row>
    <x:row r="8">
      <x:c r="A8" s="54" t="str">
        <x:v>Источник заявок</x:v>
      </x:c>
      <x:c r="B8" s="30" t="str">
        <x:v>Три предоставленных синтетических CSV</x:v>
      </x:c>
    </x:row>
    <x:row r="9">
      <x:c r="A9" s="54" t="str">
        <x:v>Источник имён</x:v>
      </x:c>
      <x:c r="B9" s="30" t="str">
        <x:v>Контрольные CSV; назначения не использованы</x:v>
      </x:c>
    </x:row>
    <x:row r="10">
      <x:c r="A10" s="54" t="str">
        <x:v>CORE</x:v>
      </x:c>
      <x:c r="B10" s="30" t="str">
        <x:v>205 исходных + 1 будущая срочная заявка; оборудование покрывает спрос</x:v>
      </x:c>
    </x:row>
    <x:row r="11">
      <x:c r="A11" s="54" t="str">
        <x:v>STRESS</x:v>
      </x:c>
      <x:c r="B11" s="30" t="str">
        <x:v>CORE + срочный гигабит, недоступность инженера, отмена и дефицит 1 ONT</x:v>
      </x:c>
    </x:row>
    <x:row r="12">
      <x:c r="A12" s="54" t="str">
        <x:v>Координаты</x:v>
      </x:c>
      <x:c r="B12" s="30" t="str">
        <x:v>Пустые намеренно; geocode_status=needs_geocoding</x:v>
      </x:c>
    </x:row>
    <x:row r="13">
      <x:c r="A13" s="54" t="str">
        <x:v>Маршрутизация</x:v>
      </x:c>
      <x:c r="B13" s="30" t="str">
        <x:v>OSRM как базовое время; профиль Traffic для статистических пробок</x:v>
      </x:c>
    </x:row>
    <x:row r="14">
      <x:c r="A14" s="54" t="str">
        <x:v>Смены</x:v>
      </x:c>
      <x:c r="B14" s="30" t="str">
        <x:v>08:00–18:00, 10:00–22:00 и 12:00–22:00; максимум 600 плановых минут на инженера</x:v>
      </x:c>
    </x:row>
    <x:row r="15">
      <x:c r="A15" s="54" t="str">
        <x:v>Инвентарь</x:v>
      </x:c>
      <x:c r="B15" s="30" t="str">
        <x:v>Личные многоразовые комплекты + зональные расходники без дозагрузки в течение дня</x:v>
      </x:c>
    </x:row>
    <x:row r="16">
      <x:c r="A16" s="55" t="str">
        <x:v>CSV</x:v>
      </x:c>
      <x:c r="B16" s="32" t="str">
        <x:v>UTF-8 BOM; разделитель ; ; списки внутри поля разделены |</x:v>
      </x:c>
    </x:row>
    <x:row r="17">
      <x:c r="A17" s="23"/>
      <x:c r="B17" s="23"/>
    </x:row>
  </x:sheetData>
  <x:mergeCells>
    <x:mergeCell ref="A2:F2"/>
  </x:mergeCells>
  <x:pageMargins left="0.7" right="0.7" top="0.75" bottom="0.75" header="0.3" footer="0.3"/>
</x:worksheet>
</file>